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omeb\Downloads\"/>
    </mc:Choice>
  </mc:AlternateContent>
  <xr:revisionPtr revIDLastSave="0" documentId="13_ncr:1_{BD4A9CBC-5359-42C1-B750-F57D45B0DB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áo cáo từng cty" sheetId="3" r:id="rId1"/>
    <sheet name="Bản sao của Báo cáo từng cty" sheetId="8" state="hidden" r:id="rId2"/>
    <sheet name="Raw data" sheetId="9" state="hidden" r:id="rId3"/>
    <sheet name="Đối chiếu dữ liệu" sheetId="10" state="hidden" r:id="rId4"/>
  </sheets>
  <definedNames>
    <definedName name="_xlnm._FilterDatabase" localSheetId="1" hidden="1">'Bản sao của Báo cáo từng cty'!$A$1:$Z$988</definedName>
    <definedName name="_xlnm._FilterDatabase" localSheetId="0" hidden="1">'Báo cáo từng cty'!$A$1:$Z$974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" i="3" l="1"/>
  <c r="M32" i="3"/>
  <c r="M46" i="3"/>
  <c r="I42" i="9"/>
  <c r="H42" i="9"/>
  <c r="G42" i="9"/>
  <c r="F42" i="9"/>
  <c r="H19" i="9"/>
  <c r="G19" i="9"/>
  <c r="F19" i="9"/>
  <c r="E19" i="9"/>
  <c r="D19" i="9"/>
  <c r="E13" i="9"/>
  <c r="I7" i="9"/>
  <c r="H7" i="9"/>
  <c r="L60" i="8"/>
  <c r="M57" i="8"/>
  <c r="M56" i="8"/>
  <c r="M52" i="8"/>
  <c r="M41" i="8"/>
  <c r="M40" i="8"/>
  <c r="M47" i="8" s="1"/>
  <c r="M33" i="8"/>
  <c r="M31" i="8"/>
  <c r="M28" i="8"/>
  <c r="L28" i="8"/>
  <c r="K28" i="8"/>
  <c r="J28" i="8"/>
  <c r="I28" i="8"/>
  <c r="H28" i="8"/>
  <c r="G28" i="8"/>
  <c r="F28" i="8"/>
  <c r="E28" i="8"/>
  <c r="D28" i="8"/>
  <c r="M26" i="8"/>
  <c r="M60" i="8" s="1"/>
  <c r="M61" i="8" s="1"/>
  <c r="M21" i="8"/>
  <c r="M18" i="8"/>
  <c r="L18" i="8"/>
  <c r="K18" i="8"/>
  <c r="J18" i="8"/>
  <c r="I18" i="8"/>
  <c r="H18" i="8"/>
  <c r="G18" i="8"/>
  <c r="F18" i="8"/>
  <c r="E18" i="8"/>
  <c r="D18" i="8"/>
  <c r="M17" i="8"/>
  <c r="M15" i="8"/>
  <c r="L15" i="8"/>
  <c r="K15" i="8"/>
  <c r="J15" i="8"/>
  <c r="I15" i="8"/>
  <c r="H15" i="8"/>
  <c r="G15" i="8"/>
  <c r="F15" i="8"/>
  <c r="E15" i="8"/>
  <c r="D15" i="8"/>
  <c r="M9" i="8"/>
  <c r="M12" i="8" s="1"/>
  <c r="L46" i="3"/>
  <c r="M41" i="3"/>
  <c r="M37" i="3"/>
  <c r="M30" i="3"/>
  <c r="M22" i="3"/>
  <c r="M19" i="3"/>
  <c r="M16" i="3"/>
  <c r="L16" i="3"/>
  <c r="K16" i="3"/>
  <c r="J16" i="3"/>
  <c r="I16" i="3"/>
  <c r="H16" i="3"/>
  <c r="G16" i="3"/>
  <c r="F16" i="3"/>
  <c r="E16" i="3"/>
  <c r="D16" i="3"/>
  <c r="M15" i="3"/>
  <c r="M13" i="3"/>
  <c r="M11" i="3"/>
  <c r="M8" i="3"/>
  <c r="L6" i="3"/>
  <c r="K6" i="3"/>
  <c r="J6" i="3"/>
  <c r="I6" i="3"/>
  <c r="H6" i="3"/>
  <c r="G6" i="3"/>
  <c r="F6" i="3"/>
  <c r="E6" i="3"/>
  <c r="D6" i="3"/>
  <c r="M4" i="3"/>
  <c r="M3" i="3"/>
  <c r="L3" i="3"/>
  <c r="K3" i="3"/>
  <c r="J3" i="3"/>
  <c r="I3" i="3"/>
  <c r="H3" i="3"/>
  <c r="G3" i="3"/>
  <c r="F3" i="3"/>
  <c r="E3" i="3"/>
  <c r="D3" i="3"/>
  <c r="M47" i="3" l="1"/>
  <c r="M27" i="8"/>
  <c r="M24" i="8"/>
  <c r="M14" i="8"/>
  <c r="M20" i="8"/>
  <c r="M50" i="8"/>
  <c r="M53" i="8"/>
  <c r="M5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" authorId="0" shapeId="0" xr:uid="{00000000-0006-0000-0800-000003000000}">
      <text>
        <r>
          <rPr>
            <sz val="10"/>
            <color rgb="FF000000"/>
            <rFont val="Arial"/>
            <scheme val="minor"/>
          </rPr>
          <t>Check thuyết minh phần Cho vay KH (BCĐKT)</t>
        </r>
      </text>
    </comment>
    <comment ref="B17" authorId="0" shapeId="0" xr:uid="{00000000-0006-0000-0800-000002000000}">
      <text>
        <r>
          <rPr>
            <sz val="10"/>
            <color rgb="FF000000"/>
            <rFont val="Arial"/>
            <scheme val="minor"/>
          </rPr>
          <t>Check thuyết minh phần Cho vay KH (BCĐKT)</t>
        </r>
      </text>
    </comment>
    <comment ref="B18" authorId="0" shapeId="0" xr:uid="{00000000-0006-0000-0800-000001000000}">
      <text>
        <r>
          <rPr>
            <sz val="10"/>
            <color rgb="FF000000"/>
            <rFont val="Arial"/>
            <scheme val="minor"/>
          </rPr>
          <t>Check thuyết minh phần Cho vay KH (BCĐKT)</t>
        </r>
      </text>
    </comment>
    <comment ref="B19" authorId="0" shapeId="0" xr:uid="{00000000-0006-0000-0800-00000A000000}">
      <text>
        <r>
          <rPr>
            <sz val="10"/>
            <color rgb="FF000000"/>
            <rFont val="Arial"/>
            <scheme val="minor"/>
          </rPr>
          <t>Check thuyết minh Tổng chi phí hoạt động (HĐKD)</t>
        </r>
      </text>
    </comment>
    <comment ref="B20" authorId="0" shapeId="0" xr:uid="{00000000-0006-0000-0800-000009000000}">
      <text>
        <r>
          <rPr>
            <sz val="10"/>
            <color rgb="FF000000"/>
            <rFont val="Arial"/>
            <scheme val="minor"/>
          </rPr>
          <t>Check thuyết minh Tổng chi phí hoạt động (HĐKD)</t>
        </r>
      </text>
    </comment>
    <comment ref="B39" authorId="0" shapeId="0" xr:uid="{00000000-0006-0000-0800-000008000000}">
      <text>
        <r>
          <rPr>
            <sz val="10"/>
            <color rgb="FF000000"/>
            <rFont val="Arial"/>
            <scheme val="minor"/>
          </rPr>
          <t>Check thuyết minh phần Cho vay KH (BCĐKT)</t>
        </r>
      </text>
    </comment>
    <comment ref="B40" authorId="0" shapeId="0" xr:uid="{00000000-0006-0000-0800-000007000000}">
      <text>
        <r>
          <rPr>
            <sz val="10"/>
            <color rgb="FF000000"/>
            <rFont val="Arial"/>
            <scheme val="minor"/>
          </rPr>
          <t>Check thuyết minh phần Cho vay KH (BCĐKT)</t>
        </r>
      </text>
    </comment>
    <comment ref="B41" authorId="0" shapeId="0" xr:uid="{00000000-0006-0000-0800-000006000000}">
      <text>
        <r>
          <rPr>
            <sz val="10"/>
            <color rgb="FF000000"/>
            <rFont val="Arial"/>
            <scheme val="minor"/>
          </rPr>
          <t>Check thuyết minh phần Cho vay KH (BCĐKT)</t>
        </r>
      </text>
    </comment>
    <comment ref="B42" authorId="0" shapeId="0" xr:uid="{00000000-0006-0000-0800-000005000000}">
      <text>
        <r>
          <rPr>
            <sz val="10"/>
            <color rgb="FF000000"/>
            <rFont val="Arial"/>
            <scheme val="minor"/>
          </rPr>
          <t>Check thuyết minh Tổng chi phí hoạt động (HĐKD)</t>
        </r>
      </text>
    </comment>
    <comment ref="B43" authorId="0" shapeId="0" xr:uid="{00000000-0006-0000-0800-000004000000}">
      <text>
        <r>
          <rPr>
            <sz val="10"/>
            <color rgb="FF000000"/>
            <rFont val="Arial"/>
            <scheme val="minor"/>
          </rPr>
          <t>Check thuyết minh Tổng chi phí hoạt động (HĐKD)</t>
        </r>
      </text>
    </comment>
  </commentList>
</comments>
</file>

<file path=xl/sharedStrings.xml><?xml version="1.0" encoding="utf-8"?>
<sst xmlns="http://schemas.openxmlformats.org/spreadsheetml/2006/main" count="653" uniqueCount="223">
  <si>
    <t>Code</t>
  </si>
  <si>
    <t>Loại</t>
  </si>
  <si>
    <t>VPB</t>
  </si>
  <si>
    <t>Statement</t>
  </si>
  <si>
    <t>Item name</t>
  </si>
  <si>
    <t>Tỷ lệ Chi phí / Thu nhập (CIR)</t>
  </si>
  <si>
    <t>Balance</t>
  </si>
  <si>
    <t>Tổng tài sản</t>
  </si>
  <si>
    <t>Fill</t>
  </si>
  <si>
    <t>Tổng thu nhập hoạt động (TOI)</t>
  </si>
  <si>
    <t>Tính</t>
  </si>
  <si>
    <t>Tăng trưởng TOI</t>
  </si>
  <si>
    <t>CPKH/Tổng thu nhập hoạt động</t>
  </si>
  <si>
    <t>Biên lãi vận hành (trước DPRR)</t>
  </si>
  <si>
    <t>Biên lợi nhuận trước thuế</t>
  </si>
  <si>
    <t>Biên Lợi nhuận ST của CĐ công ty mẹ</t>
  </si>
  <si>
    <t>Tổng nợ phải trả</t>
  </si>
  <si>
    <t>Chi phí vận hành (SG &amp; A)</t>
  </si>
  <si>
    <t>Vốn chủ sở hữu</t>
  </si>
  <si>
    <t>Tăng trưởng lãi ròng sau CĐ thiểu số</t>
  </si>
  <si>
    <t>Lợi nhuận sau thuế chưa phân phối</t>
  </si>
  <si>
    <t>Tăng tưởng CPVH</t>
  </si>
  <si>
    <t>Cashflow</t>
  </si>
  <si>
    <t>Lưu chuyển tiền thuần từ hoạt động kinh doanh</t>
  </si>
  <si>
    <t>Cổ tức trả cổ đông, lợi nhuận đã chia</t>
  </si>
  <si>
    <t>Lợi nhuận thuần từ hoạt động kinh doanh trước chi phí dự phòng rủi ro tín dụng</t>
  </si>
  <si>
    <t>Tỷ suất sinh lời trên Tổng Tài Sản (ROA)</t>
  </si>
  <si>
    <t>Lưu chuyển tiền thuần từ/(sử dụng vào) hoạt
động tài chính</t>
  </si>
  <si>
    <t>Chi phí dự phòng rủi ro tín dụng</t>
  </si>
  <si>
    <t>Tổng lợi nhuận trước thuế (PBT)</t>
  </si>
  <si>
    <t>Tiền chi để mua sắm, xây dựng TSCĐ và các tài sản dài hạn khác (CapEx)</t>
  </si>
  <si>
    <t>Debt/Equity</t>
  </si>
  <si>
    <t>Lợi nhuận sau thuế thu nhập doanh nghiệp</t>
  </si>
  <si>
    <t>Income</t>
  </si>
  <si>
    <t>Biên lợi nhuận sau thuế thu nhập doanh nghiệp</t>
  </si>
  <si>
    <t>Tỷ suất sinh lời trên Vốn CSH (ROE)</t>
  </si>
  <si>
    <t>Lợi nhuận sau thuế của cổ đông công ty mẹ</t>
  </si>
  <si>
    <t>Tỷ lệ tiền gửi không kỳ hạn (CASA)</t>
  </si>
  <si>
    <t>Lãi cơ bản trên cổ phiếu (EPS)</t>
  </si>
  <si>
    <t>Chi Khấu hao TSCĐ</t>
  </si>
  <si>
    <t>Tỷ lệ nợ xấu (NPL) cuối năm</t>
  </si>
  <si>
    <t xml:space="preserve"> </t>
  </si>
  <si>
    <t>Notes</t>
  </si>
  <si>
    <t>Biên lãi thuần (NIM)</t>
  </si>
  <si>
    <t>Nợ nghi ngờ</t>
  </si>
  <si>
    <t>Hệ số an toàn vốn (CAR)</t>
  </si>
  <si>
    <t>Chi phí vốn bình quân</t>
  </si>
  <si>
    <t>Nợ xấu có khả năng mất vốn</t>
  </si>
  <si>
    <t>Thay đổi tỷ lệ chi phí vốn</t>
  </si>
  <si>
    <t>Tỷ lệ bao phủ nợ xấu (LLR Coverage)</t>
  </si>
  <si>
    <t>File excel kéo dữ liệu về bị sai tên mô tả
Tên chuẩn dựa trên sheet này</t>
  </si>
  <si>
    <t>Thay đổi tỷ lệ nợ nghi ngờ</t>
  </si>
  <si>
    <t>Thay đổi tỷ lệ nợ xấu có khả năng mất vốn</t>
  </si>
  <si>
    <t>Chỉ số P/E cơ bản</t>
  </si>
  <si>
    <t>Chỉ số P/B</t>
  </si>
  <si>
    <t>Vốn hóa thị trường</t>
  </si>
  <si>
    <t>Chỉ số tự tài trợ</t>
  </si>
  <si>
    <t>Owner Earnings</t>
  </si>
  <si>
    <t>Tăng trưởng OE</t>
  </si>
  <si>
    <t>TCB</t>
  </si>
  <si>
    <t>Kéo dữ liệu</t>
  </si>
  <si>
    <t>Thu nhập lãi và các khoản thu nhập tương tự</t>
  </si>
  <si>
    <t>Chi phí lãi và các chi phí tương tự</t>
  </si>
  <si>
    <t>Thu nhập từ hoạt động dịch vụ</t>
  </si>
  <si>
    <t>Thu nhập từ hoạt động kinh doanh ngoại hối</t>
  </si>
  <si>
    <t>Thu nhập từ mua bán chứng khoán
kinh doanh</t>
  </si>
  <si>
    <t xml:space="preserve">Thu nhập từ mua bán chứng khoán đầu tư </t>
  </si>
  <si>
    <t>Hoàn nhập dự phòng chứng khoán đầu tư sẵn
sàng để bán</t>
  </si>
  <si>
    <t>Hoàn nhập dự phòng chứng khoán giữ đến
ngày đáo hạn</t>
  </si>
  <si>
    <t>Thu nhập từ hoạt động khác</t>
  </si>
  <si>
    <t>Thu nhập từ góp vốn mua cổ phần</t>
  </si>
  <si>
    <t>Tổng doanh thu</t>
  </si>
  <si>
    <t>Tổng thu nhập HĐ (Total Operating Income)</t>
  </si>
  <si>
    <t>Biên lãi gộp</t>
  </si>
  <si>
    <t>Có</t>
  </si>
  <si>
    <t>Lãi vận hành (trước DPRR)</t>
  </si>
  <si>
    <t>Cho vay KH (trước dự phòng)</t>
  </si>
  <si>
    <t>Chi phí lãi vay/Lãi vận hành</t>
  </si>
  <si>
    <t>Dự phòng rủi ro cho vay KH</t>
  </si>
  <si>
    <t>Trích lập dự phòng rủi ro tín dụng</t>
  </si>
  <si>
    <t>Biên lãi lợi nhuận trước thuế</t>
  </si>
  <si>
    <t>Lợi nhuận sau thuế</t>
  </si>
  <si>
    <t>Lợi nhuận ST của CĐ Ngân hàng mẹ (PAT)</t>
  </si>
  <si>
    <t>Biên Lợi nhuận ST của CĐ Ngân hàng mẹ (PAT)</t>
  </si>
  <si>
    <t>EPS - Lãi cơ bản trên cổ phiếu (VND/CP)</t>
  </si>
  <si>
    <t>Chi phí công nghệ thông tin</t>
  </si>
  <si>
    <t>LNST &amp; sau CĐ thiểu số (công ty con)</t>
  </si>
  <si>
    <t>CNTT/Tổng thu nhập hoạt động</t>
  </si>
  <si>
    <t>Dòng tiền từ HĐ kinh doanh</t>
  </si>
  <si>
    <t>Chi phí khấu hao</t>
  </si>
  <si>
    <t>Mua sắm tài sản cố định (CapEx)</t>
  </si>
  <si>
    <t>Dòng tiền từ HĐ tài chính</t>
  </si>
  <si>
    <t>Dự phòng rủi ro cho vay khách hàng</t>
  </si>
  <si>
    <t>Nợ dưới tiêu chuẩn (nhóm 3)</t>
  </si>
  <si>
    <t>Search</t>
  </si>
  <si>
    <t>Nợ nghi ngờ (nhóm 4)</t>
  </si>
  <si>
    <t>Nợ có khả năng mất vốn (nhóm 5)</t>
  </si>
  <si>
    <t>Tổng nợ xấu (nhóm 3 đến 5)</t>
  </si>
  <si>
    <t>Biên lãi ròng TB cả năm (Aver.NIM)</t>
  </si>
  <si>
    <t>Tỷ lệ nợ xấu (NPL) truyền thông</t>
  </si>
  <si>
    <t>Tỷ lệ CASA TB cả năm</t>
  </si>
  <si>
    <t>Tỷ lệ an toàn vốn (CAR)</t>
  </si>
  <si>
    <t>Lưu chuyển tiền thuần từ/(sử dụng vào) hoạt
động tài chính</t>
  </si>
  <si>
    <t>Tỷ lệ chi trả cổ tức (trên lãi ròng)</t>
  </si>
  <si>
    <t>CapEx tăng trưởng</t>
  </si>
  <si>
    <t>Tỷ lệ chi trả cổ tức</t>
  </si>
  <si>
    <t>Báo cáo</t>
  </si>
  <si>
    <t>Chỉ tiêu (Tiếng Việt)</t>
  </si>
  <si>
    <t>Năm 2025</t>
  </si>
  <si>
    <t>Năm 2024</t>
  </si>
  <si>
    <t>Kết quả kinh doanh (P&amp;L)</t>
  </si>
  <si>
    <t>Tổng lợi nhuận/lỗ trước thuế</t>
  </si>
  <si>
    <t>Chi phí thuế TNDN hiện hành</t>
  </si>
  <si>
    <t>Chi phí thuế TNDN hoãn lại</t>
  </si>
  <si>
    <t>Chi phí thuế thu nhập doanh nghiệp</t>
  </si>
  <si>
    <t>Lợi ích của cổ đông thiểu số</t>
  </si>
  <si>
    <t>Cổ đông của Công ty mẹ</t>
  </si>
  <si>
    <t>Lãi cơ bản trên cổ phiếu (VND)</t>
  </si>
  <si>
    <t>Thu nhập lãi thuần</t>
  </si>
  <si>
    <t>Thu nhập từ dịch vụ</t>
  </si>
  <si>
    <t>Chi phí dịch vụ</t>
  </si>
  <si>
    <t>Lãi/Lỗ thuần từ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</si>
  <si>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</si>
  <si>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</si>
  <si>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</si>
  <si>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Thu nhập khác</t>
  </si>
  <si>
    <t>Chi phí khác</t>
  </si>
  <si>
    <t>Lãi/(lỗ) thuần từ hoạt động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</si>
  <si>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</si>
  <si>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</si>
  <si>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</si>
  <si>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</si>
  <si>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</si>
  <si>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Cân đối kế toán (Balance Sheet)</t>
  </si>
  <si>
    <t>Tiền mặt, vàng bạc, đá quý</t>
  </si>
  <si>
    <t>Tài sản cố định</t>
  </si>
  <si>
    <t>Tài sản cố định hữu hình</t>
  </si>
  <si>
    <t>Nguyên giá TSCĐ vô hình</t>
  </si>
  <si>
    <t>Tài sản cố định vô hình</t>
  </si>
  <si>
    <t>Hao mòn TSCĐ vô hình</t>
  </si>
  <si>
    <t>Góp vốn, đầu tư dài hạn</t>
  </si>
  <si>
    <t>Đầu tư dài hạn khác</t>
  </si>
  <si>
    <t>TỔNG TÀI SẢN</t>
  </si>
  <si>
    <t>TỔNG NỢ PHẢI TRẢ</t>
  </si>
  <si>
    <t>VỐN CHỦ SỞ HỮU</t>
  </si>
  <si>
    <t>Vốn điều lệ</t>
  </si>
  <si>
    <t>Thặng dư vốn cổ phần</t>
  </si>
  <si>
    <t>Lợi nhuận chưa phân phối</t>
  </si>
  <si>
    <t>NỢ PHẢI TRẢ VÀ VỐN CHỦ SỞ HỮU</t>
  </si>
  <si>
    <t>Tiền gửi tại Ngân hàng nhà nước Việt Nam</t>
  </si>
  <si>
    <t>Tiền gửi tại các TCTD khác và cho vay các TCTD khác</t>
  </si>
  <si>
    <t>Chứng khoán kinh doanh</t>
  </si>
  <si>
    <t>Dự phòng giảm giá chứng khoán kinh doanh</t>
  </si>
  <si>
    <t>Cho vay khách hàng</t>
  </si>
  <si>
    <t>Trước dự phòng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</si>
  <si>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</si>
  <si>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</si>
  <si>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</si>
  <si>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</si>
  <si>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Tài sản Có khác</t>
  </si>
  <si>
    <t>Các khoản nợ chính phủ và NHNN Việt Nam</t>
  </si>
  <si>
    <t>Tiền gửi của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</si>
  <si>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</si>
  <si>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</si>
  <si>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</si>
  <si>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</si>
  <si>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phải trả và công nợ khác</t>
  </si>
  <si>
    <t>Vốn của tổ chức tín dụng</t>
  </si>
  <si>
    <t>Quỹ của tổ chức tín dụng</t>
  </si>
  <si>
    <t>Bảo lãnh khác</t>
  </si>
  <si>
    <t>Cam kết giao dịch hối đoái</t>
  </si>
  <si>
    <t>Cam kết mua ngoại tệ</t>
  </si>
  <si>
    <t>Cam kết bán ngoại tệ</t>
  </si>
  <si>
    <t>Cam kết giao dịch hoán đổi</t>
  </si>
  <si>
    <t>Cam kết trong nghiệp vụ L/C</t>
  </si>
  <si>
    <t>Cam kết khác</t>
  </si>
  <si>
    <t>Tiền gửi tại các TCTD khác</t>
  </si>
  <si>
    <t>Cho vay các TCTD khác</t>
  </si>
  <si>
    <t>Mua nợ</t>
  </si>
  <si>
    <t>Dự phòng rủi ro hoạt động mua nợ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</si>
  <si>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</si>
  <si>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</si>
  <si>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</si>
  <si>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</si>
  <si>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</si>
  <si>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Vay các tổ chức tín dụng khác</t>
  </si>
  <si>
    <t>Các khoản lãi, phí phải trả</t>
  </si>
  <si>
    <t>Thuế TNDN hoãn lại phải trả</t>
  </si>
  <si>
    <t>Lưu chuyển tiền tệ (Cash Flow)</t>
  </si>
  <si>
    <t>Lưu chuyển tiền thuần từ hoạt động kinh doanh trước những thay đổi về tài sản và vốn lưu động</t>
  </si>
  <si>
    <t>Lưu chuyển tiền thuần từ các hoạt động sản xuất kinh doanh</t>
  </si>
  <si>
    <t>Mua sắm TSCĐ</t>
  </si>
  <si>
    <t>Tiền thu được từ thanh lý, nhượng bán tài sản cố định</t>
  </si>
  <si>
    <t>Tiền thu cổ tức và lợi nhuận được chia từ các khoản đầu tư góp vốn dài hạn</t>
  </si>
  <si>
    <t>Lưu chuyển tiền thuần từ hoạt động đầu tư</t>
  </si>
  <si>
    <t>Tăng vốn cổ phần từ góp vốn và/hoặc phát hành cổ phiếu</t>
  </si>
  <si>
    <t>Cổ tức trả cho cổ đông, lợi nhuận đã chia</t>
  </si>
  <si>
    <t>Lưu chuyển tiền thuần trong kỳ</t>
  </si>
  <si>
    <t>sử dụng vào hoạt động tài chính</t>
  </si>
  <si>
    <t>Tiền và các khoản tương đương tiền tài thời điểm đầu kỳ</t>
  </si>
  <si>
    <t>Tiền và các khoản tương đương tiền tại thời điểm cuối kỳ</t>
  </si>
  <si>
    <t>Tiền thuế thu nhập thực nộp trong kỳ</t>
  </si>
  <si>
    <t>Tăng/giảm các khoản tiền gửi và cho vay các tổ chức tín dụng khác</t>
  </si>
  <si>
    <t>Tăng/giảm các khoản về kinh doanh chứng khoán</t>
  </si>
  <si>
    <t>Tăng/giảm các khoản cho vay khách hàng</t>
  </si>
  <si>
    <t>Tăng/giảm nguồn dự phòng để bù đắp tổn thất các khoản</t>
  </si>
  <si>
    <t>Tăng/giảm khác về tài sản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</si>
  <si>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</si>
  <si>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</si>
  <si>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</si>
  <si>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các công cụ tài chính phái sinh và các khoản nợ tài chính khác</t>
  </si>
  <si>
    <t>Tăng/(Giảm) vốn tài trợ, uỷ thác đầu tư của chính phủ và các TCTD khác</t>
  </si>
  <si>
    <t>Tăng/(Giảm) phát hành giấy tờ có giá</t>
  </si>
  <si>
    <t>Tăng/(Giảm) khác về công nợ hoạt động</t>
  </si>
  <si>
    <t>Lưu chuyển tiền thuần từ hoạt động kinh doanh trước thuế thu nhập DN</t>
  </si>
  <si>
    <t>Tiền chi từ thanh lý, nhượng bán TSCĐ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</si>
  <si>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</si>
  <si>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</si>
  <si>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</si>
  <si>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Thu nhập từ hoạt động kinh doanh chứng khoán</t>
  </si>
  <si>
    <t>Tiền chi trả cho nhân viên và hoạt động quản lý, cộng cụ</t>
  </si>
  <si>
    <t>Tiền thu các khoản nợ đã được xử lý, xóa, bù đắp bằng nguồn rủi ro</t>
  </si>
  <si>
    <t>Chênh lệch số tiền thực thu/thực chi từ hoạt động kinh doanh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</si>
</sst>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\ [$đ-42A]"/>
  </numFmts>
  <fonts count="9">
    <font>
      <sz val="10"/>
      <color rgb="FF000000"/>
      <name val="Arial"/>
      <scheme val="minor"/>
    </font>
    <font>
      <b/>
      <sz val="10"/>
      <color theme="1"/>
      <name val="Roboto"/>
    </font>
    <font>
      <sz val="10"/>
      <color theme="1"/>
      <name val="Roboto"/>
    </font>
    <font>
      <sz val="10"/>
      <color theme="1"/>
      <name val="Arial"/>
      <scheme val="minor"/>
    </font>
    <font>
      <b/>
      <sz val="10"/>
      <color rgb="FFFFFFFF"/>
      <name val="Inter"/>
    </font>
    <font>
      <sz val="10"/>
      <color theme="1"/>
      <name val="Inter"/>
    </font>
    <font>
      <sz val="10"/>
      <color rgb="FF64748B"/>
      <name val="Inter"/>
    </font>
    <font>
      <sz val="10"/>
      <color rgb="FF1E293B"/>
      <name val="Inter"/>
    </font>
    <font>
      <sz val="10"/>
      <color rgb="FF334155"/>
      <name val="Inter"/>
    </font>
  </fonts>
  <fills count="8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/>
      <right style="thin">
        <color rgb="FFE2E8F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 wrapText="1"/>
    </xf>
    <xf numFmtId="10" fontId="2" fillId="0" borderId="1" xfId="0" applyNumberFormat="1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4" fontId="2" fillId="0" borderId="1" xfId="0" applyNumberFormat="1" applyFont="1" applyBorder="1" applyAlignment="1">
      <alignment vertical="center"/>
    </xf>
    <xf numFmtId="10" fontId="2" fillId="0" borderId="0" xfId="0" applyNumberFormat="1" applyFont="1" applyAlignment="1">
      <alignment vertical="center"/>
    </xf>
    <xf numFmtId="10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3" fontId="2" fillId="0" borderId="0" xfId="0" applyNumberFormat="1" applyFont="1" applyAlignment="1"/>
    <xf numFmtId="0" fontId="3" fillId="3" borderId="0" xfId="0" applyFont="1" applyFill="1" applyAlignment="1"/>
    <xf numFmtId="0" fontId="2" fillId="3" borderId="0" xfId="0" applyFont="1" applyFill="1" applyAlignment="1">
      <alignment vertical="center"/>
    </xf>
    <xf numFmtId="10" fontId="2" fillId="4" borderId="0" xfId="0" applyNumberFormat="1" applyFont="1" applyFill="1"/>
    <xf numFmtId="10" fontId="2" fillId="4" borderId="0" xfId="0" applyNumberFormat="1" applyFont="1" applyFill="1" applyAlignment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5" fillId="0" borderId="0" xfId="0" applyFont="1"/>
    <xf numFmtId="0" fontId="6" fillId="6" borderId="3" xfId="0" applyFont="1" applyFill="1" applyBorder="1" applyAlignment="1"/>
    <xf numFmtId="0" fontId="7" fillId="6" borderId="3" xfId="0" applyFont="1" applyFill="1" applyBorder="1" applyAlignment="1"/>
    <xf numFmtId="3" fontId="8" fillId="6" borderId="3" xfId="0" applyNumberFormat="1" applyFont="1" applyFill="1" applyBorder="1" applyAlignment="1">
      <alignment horizontal="right"/>
    </xf>
    <xf numFmtId="3" fontId="7" fillId="7" borderId="3" xfId="0" applyNumberFormat="1" applyFont="1" applyFill="1" applyBorder="1" applyAlignment="1"/>
    <xf numFmtId="3" fontId="7" fillId="6" borderId="3" xfId="0" applyNumberFormat="1" applyFont="1" applyFill="1" applyBorder="1" applyAlignment="1"/>
    <xf numFmtId="0" fontId="5" fillId="0" borderId="0" xfId="0" applyFont="1" applyAlignment="1"/>
    <xf numFmtId="0" fontId="7" fillId="7" borderId="3" xfId="0" applyFont="1" applyFill="1" applyBorder="1" applyAlignment="1"/>
    <xf numFmtId="0" fontId="8" fillId="6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Z974"/>
  <sheetViews>
    <sheetView tabSelected="1" workbookViewId="0">
      <pane xSplit="2" topLeftCell="C1" activePane="topRight" state="frozen"/>
      <selection pane="topRight" activeCell="M1" sqref="M1:M1048576"/>
    </sheetView>
  </sheetViews>
  <sheetFormatPr defaultColWidth="12.5703125" defaultRowHeight="15.75" customHeight="1"/>
  <cols>
    <col min="1" max="1" width="9.7109375" customWidth="1"/>
    <col min="2" max="2" width="35.42578125" customWidth="1"/>
    <col min="7" max="7" width="12.42578125" customWidth="1"/>
    <col min="9" max="9" width="9.5703125" customWidth="1"/>
    <col min="13" max="13" width="18.7109375" customWidth="1"/>
    <col min="15" max="15" width="16.28515625" customWidth="1"/>
  </cols>
  <sheetData>
    <row r="1" spans="1:26" ht="12.75">
      <c r="A1" s="1" t="s">
        <v>1</v>
      </c>
      <c r="B1" s="1" t="s">
        <v>2</v>
      </c>
      <c r="C1" s="4">
        <v>2015</v>
      </c>
      <c r="D1" s="4">
        <v>2016</v>
      </c>
      <c r="E1" s="4">
        <v>2017</v>
      </c>
      <c r="F1" s="4">
        <v>2018</v>
      </c>
      <c r="G1" s="4">
        <v>2019</v>
      </c>
      <c r="H1" s="4">
        <v>2020</v>
      </c>
      <c r="I1" s="4">
        <v>2021</v>
      </c>
      <c r="J1" s="4">
        <v>2022</v>
      </c>
      <c r="K1" s="4">
        <v>2023</v>
      </c>
      <c r="L1" s="4">
        <v>2024</v>
      </c>
      <c r="M1" s="4">
        <v>2025</v>
      </c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>
      <c r="A2" s="4" t="s">
        <v>8</v>
      </c>
      <c r="B2" s="5" t="s">
        <v>9</v>
      </c>
      <c r="C2" s="6"/>
      <c r="D2" s="4"/>
      <c r="E2" s="7"/>
      <c r="F2" s="7"/>
      <c r="G2" s="7"/>
      <c r="H2" s="7"/>
      <c r="I2" s="7"/>
      <c r="J2" s="7"/>
      <c r="K2" s="7"/>
      <c r="L2" s="6">
        <v>62255000</v>
      </c>
      <c r="M2" s="6">
        <v>74653817</v>
      </c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>
      <c r="A3" s="4" t="s">
        <v>10</v>
      </c>
      <c r="B3" s="5" t="s">
        <v>11</v>
      </c>
      <c r="C3" s="8"/>
      <c r="D3" s="10" t="e">
        <f t="shared" ref="D3:M3" si="0">(D2-C2)/C2</f>
        <v>#DIV/0!</v>
      </c>
      <c r="E3" s="10" t="e">
        <f t="shared" si="0"/>
        <v>#DIV/0!</v>
      </c>
      <c r="F3" s="10" t="e">
        <f t="shared" si="0"/>
        <v>#DIV/0!</v>
      </c>
      <c r="G3" s="10" t="e">
        <f t="shared" si="0"/>
        <v>#DIV/0!</v>
      </c>
      <c r="H3" s="10" t="e">
        <f t="shared" si="0"/>
        <v>#DIV/0!</v>
      </c>
      <c r="I3" s="10" t="e">
        <f t="shared" si="0"/>
        <v>#DIV/0!</v>
      </c>
      <c r="J3" s="10" t="e">
        <f t="shared" si="0"/>
        <v>#DIV/0!</v>
      </c>
      <c r="K3" s="10" t="e">
        <f t="shared" si="0"/>
        <v>#DIV/0!</v>
      </c>
      <c r="L3" s="10" t="e">
        <f t="shared" si="0"/>
        <v>#DIV/0!</v>
      </c>
      <c r="M3" s="10">
        <f t="shared" si="0"/>
        <v>0.19916178620191149</v>
      </c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>
      <c r="A4" s="4" t="s">
        <v>10</v>
      </c>
      <c r="B4" s="5" t="s">
        <v>17</v>
      </c>
      <c r="C4" s="6"/>
      <c r="D4" s="7"/>
      <c r="E4" s="7"/>
      <c r="F4" s="7"/>
      <c r="G4" s="7"/>
      <c r="H4" s="7"/>
      <c r="I4" s="7"/>
      <c r="J4" s="7"/>
      <c r="K4" s="7"/>
      <c r="L4" s="6">
        <v>-14340000</v>
      </c>
      <c r="M4" s="6">
        <f>M7-M2</f>
        <v>-18630319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>
      <c r="A5" s="4" t="s">
        <v>8</v>
      </c>
      <c r="B5" s="5" t="s">
        <v>5</v>
      </c>
      <c r="C5" s="12"/>
      <c r="D5" s="7"/>
      <c r="E5" s="7"/>
      <c r="F5" s="7"/>
      <c r="G5" s="7"/>
      <c r="H5" s="7"/>
      <c r="I5" s="7"/>
      <c r="J5" s="7"/>
      <c r="K5" s="7"/>
      <c r="L5" s="10"/>
      <c r="M5" s="10">
        <v>-0.24955614794619277</v>
      </c>
      <c r="N5" s="3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>
      <c r="A6" s="4" t="s">
        <v>10</v>
      </c>
      <c r="B6" s="5" t="s">
        <v>21</v>
      </c>
      <c r="C6" s="8"/>
      <c r="D6" s="10" t="e">
        <f t="shared" ref="D6:L6" si="1">(D4-C4)/C4</f>
        <v>#DIV/0!</v>
      </c>
      <c r="E6" s="10" t="e">
        <f t="shared" si="1"/>
        <v>#DIV/0!</v>
      </c>
      <c r="F6" s="10" t="e">
        <f t="shared" si="1"/>
        <v>#DIV/0!</v>
      </c>
      <c r="G6" s="10" t="e">
        <f t="shared" si="1"/>
        <v>#DIV/0!</v>
      </c>
      <c r="H6" s="10" t="e">
        <f t="shared" si="1"/>
        <v>#DIV/0!</v>
      </c>
      <c r="I6" s="10" t="e">
        <f t="shared" si="1"/>
        <v>#DIV/0!</v>
      </c>
      <c r="J6" s="10" t="e">
        <f t="shared" si="1"/>
        <v>#DIV/0!</v>
      </c>
      <c r="K6" s="10" t="e">
        <f t="shared" si="1"/>
        <v>#DIV/0!</v>
      </c>
      <c r="L6" s="10" t="e">
        <f t="shared" si="1"/>
        <v>#DIV/0!</v>
      </c>
      <c r="M6" s="10">
        <f>(ABS(M4)-ABS(L4))/ABS(L4)</f>
        <v>0.29918542538354254</v>
      </c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4.5" customHeight="1">
      <c r="A7" s="4" t="s">
        <v>8</v>
      </c>
      <c r="B7" s="5" t="s">
        <v>25</v>
      </c>
      <c r="C7" s="8"/>
      <c r="D7" s="7"/>
      <c r="E7" s="7"/>
      <c r="F7" s="7"/>
      <c r="G7" s="7"/>
      <c r="H7" s="7"/>
      <c r="I7" s="7"/>
      <c r="J7" s="7"/>
      <c r="K7" s="7"/>
      <c r="L7" s="6"/>
      <c r="M7" s="6">
        <v>56023498</v>
      </c>
      <c r="N7" s="3"/>
      <c r="O7" s="3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>
      <c r="A8" s="4" t="s">
        <v>10</v>
      </c>
      <c r="B8" s="5" t="s">
        <v>13</v>
      </c>
      <c r="C8" s="8"/>
      <c r="D8" s="7"/>
      <c r="E8" s="7"/>
      <c r="F8" s="7"/>
      <c r="G8" s="7"/>
      <c r="H8" s="7"/>
      <c r="I8" s="7"/>
      <c r="J8" s="7"/>
      <c r="K8" s="7"/>
      <c r="L8" s="10"/>
      <c r="M8" s="10">
        <f>M7/M2</f>
        <v>0.75044385205380726</v>
      </c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>
      <c r="A9" s="4" t="s">
        <v>8</v>
      </c>
      <c r="B9" s="5" t="s">
        <v>28</v>
      </c>
      <c r="C9" s="6"/>
      <c r="D9" s="7"/>
      <c r="E9" s="7"/>
      <c r="F9" s="7"/>
      <c r="G9" s="7"/>
      <c r="H9" s="7"/>
      <c r="I9" s="7"/>
      <c r="J9" s="7"/>
      <c r="K9" s="7"/>
      <c r="L9" s="6"/>
      <c r="M9" s="6">
        <v>-25398549</v>
      </c>
      <c r="N9" s="3"/>
      <c r="O9" s="3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>
      <c r="A10" s="4" t="s">
        <v>8</v>
      </c>
      <c r="B10" s="5" t="s">
        <v>29</v>
      </c>
      <c r="C10" s="6"/>
      <c r="D10" s="7"/>
      <c r="E10" s="7"/>
      <c r="F10" s="7"/>
      <c r="G10" s="7"/>
      <c r="H10" s="7"/>
      <c r="I10" s="7"/>
      <c r="J10" s="7"/>
      <c r="K10" s="7"/>
      <c r="L10" s="8"/>
      <c r="M10" s="8">
        <v>30624949</v>
      </c>
      <c r="N10" s="3"/>
      <c r="O10" s="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>
      <c r="A11" s="4" t="s">
        <v>10</v>
      </c>
      <c r="B11" s="5" t="s">
        <v>14</v>
      </c>
      <c r="C11" s="8"/>
      <c r="D11" s="7"/>
      <c r="E11" s="7"/>
      <c r="F11" s="7"/>
      <c r="G11" s="7"/>
      <c r="H11" s="7"/>
      <c r="I11" s="7"/>
      <c r="J11" s="7"/>
      <c r="K11" s="7"/>
      <c r="L11" s="6"/>
      <c r="M11" s="14">
        <f>M10/M2</f>
        <v>0.41022616432325221</v>
      </c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>
      <c r="A12" s="4" t="s">
        <v>8</v>
      </c>
      <c r="B12" s="5" t="s">
        <v>32</v>
      </c>
      <c r="C12" s="8"/>
      <c r="D12" s="7"/>
      <c r="E12" s="7"/>
      <c r="F12" s="7"/>
      <c r="G12" s="7"/>
      <c r="H12" s="7"/>
      <c r="I12" s="7"/>
      <c r="J12" s="7"/>
      <c r="K12" s="7"/>
      <c r="L12" s="6"/>
      <c r="M12" s="6">
        <v>24354596</v>
      </c>
      <c r="N12" s="3"/>
      <c r="O12" s="3"/>
      <c r="P12" s="15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4" t="s">
        <v>10</v>
      </c>
      <c r="B13" s="5" t="s">
        <v>34</v>
      </c>
      <c r="C13" s="8"/>
      <c r="D13" s="7"/>
      <c r="E13" s="7"/>
      <c r="F13" s="7"/>
      <c r="G13" s="7"/>
      <c r="H13" s="7"/>
      <c r="I13" s="7"/>
      <c r="J13" s="7"/>
      <c r="K13" s="7"/>
      <c r="L13" s="6"/>
      <c r="M13" s="10">
        <f>M12/M2</f>
        <v>0.32623376779247604</v>
      </c>
      <c r="N13" s="3"/>
      <c r="O13" s="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>
      <c r="A14" s="4" t="s">
        <v>8</v>
      </c>
      <c r="B14" s="5" t="s">
        <v>36</v>
      </c>
      <c r="C14" s="8"/>
      <c r="D14" s="7"/>
      <c r="E14" s="7"/>
      <c r="F14" s="7"/>
      <c r="G14" s="7"/>
      <c r="H14" s="7"/>
      <c r="I14" s="7"/>
      <c r="J14" s="7"/>
      <c r="K14" s="7"/>
      <c r="L14" s="6">
        <v>15778795</v>
      </c>
      <c r="M14" s="6">
        <v>23989930</v>
      </c>
      <c r="N14" s="3"/>
      <c r="O14" s="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>
      <c r="A15" s="4" t="s">
        <v>10</v>
      </c>
      <c r="B15" s="5" t="s">
        <v>15</v>
      </c>
      <c r="C15" s="8"/>
      <c r="D15" s="7"/>
      <c r="E15" s="7"/>
      <c r="F15" s="7"/>
      <c r="G15" s="7"/>
      <c r="H15" s="7"/>
      <c r="I15" s="7"/>
      <c r="J15" s="7"/>
      <c r="K15" s="7"/>
      <c r="L15" s="10"/>
      <c r="M15" s="10">
        <f>M14/M2</f>
        <v>0.32134900751290452</v>
      </c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>
      <c r="A16" s="4" t="s">
        <v>10</v>
      </c>
      <c r="B16" s="5" t="s">
        <v>19</v>
      </c>
      <c r="C16" s="10"/>
      <c r="D16" s="10" t="e">
        <f t="shared" ref="D16:M16" si="2">(D14-C14)/C14</f>
        <v>#DIV/0!</v>
      </c>
      <c r="E16" s="10" t="e">
        <f t="shared" si="2"/>
        <v>#DIV/0!</v>
      </c>
      <c r="F16" s="10" t="e">
        <f t="shared" si="2"/>
        <v>#DIV/0!</v>
      </c>
      <c r="G16" s="10" t="e">
        <f t="shared" si="2"/>
        <v>#DIV/0!</v>
      </c>
      <c r="H16" s="10" t="e">
        <f t="shared" si="2"/>
        <v>#DIV/0!</v>
      </c>
      <c r="I16" s="10" t="e">
        <f t="shared" si="2"/>
        <v>#DIV/0!</v>
      </c>
      <c r="J16" s="10" t="e">
        <f t="shared" si="2"/>
        <v>#DIV/0!</v>
      </c>
      <c r="K16" s="10" t="e">
        <f t="shared" si="2"/>
        <v>#DIV/0!</v>
      </c>
      <c r="L16" s="10" t="e">
        <f t="shared" si="2"/>
        <v>#DIV/0!</v>
      </c>
      <c r="M16" s="10">
        <f t="shared" si="2"/>
        <v>0.52039049876749144</v>
      </c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>
      <c r="A17" s="4" t="s">
        <v>8</v>
      </c>
      <c r="B17" s="5" t="s">
        <v>38</v>
      </c>
      <c r="C17" s="8"/>
      <c r="D17" s="10"/>
      <c r="E17" s="7"/>
      <c r="F17" s="7"/>
      <c r="G17" s="7"/>
      <c r="H17" s="7"/>
      <c r="I17" s="7"/>
      <c r="J17" s="7"/>
      <c r="K17" s="7"/>
      <c r="L17" s="6">
        <v>1989</v>
      </c>
      <c r="M17" s="6">
        <v>3024</v>
      </c>
      <c r="N17" s="3"/>
      <c r="O17" s="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>
      <c r="A18" s="4" t="s">
        <v>8</v>
      </c>
      <c r="B18" s="5" t="s">
        <v>39</v>
      </c>
      <c r="C18" s="6"/>
      <c r="D18" s="10"/>
      <c r="E18" s="7"/>
      <c r="F18" s="7"/>
      <c r="G18" s="7"/>
      <c r="H18" s="7"/>
      <c r="I18" s="7"/>
      <c r="J18" s="7"/>
      <c r="K18" s="4" t="s">
        <v>41</v>
      </c>
      <c r="L18" s="6">
        <v>511641</v>
      </c>
      <c r="M18" s="6">
        <v>549588</v>
      </c>
      <c r="N18" s="3"/>
      <c r="O18" s="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>
      <c r="A19" s="4" t="s">
        <v>10</v>
      </c>
      <c r="B19" s="5" t="s">
        <v>12</v>
      </c>
      <c r="C19" s="8"/>
      <c r="D19" s="10"/>
      <c r="E19" s="7"/>
      <c r="F19" s="7"/>
      <c r="G19" s="7"/>
      <c r="H19" s="7"/>
      <c r="I19" s="7"/>
      <c r="J19" s="7"/>
      <c r="K19" s="7"/>
      <c r="L19" s="10"/>
      <c r="M19" s="10">
        <f>M18/M2</f>
        <v>7.3618204947243351E-3</v>
      </c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>
      <c r="A20" s="4" t="s">
        <v>8</v>
      </c>
      <c r="B20" s="5" t="s">
        <v>43</v>
      </c>
      <c r="C20" s="6"/>
      <c r="D20" s="7"/>
      <c r="E20" s="7"/>
      <c r="F20" s="7"/>
      <c r="G20" s="7"/>
      <c r="H20" s="7"/>
      <c r="I20" s="7"/>
      <c r="J20" s="7"/>
      <c r="K20" s="7"/>
      <c r="L20" s="14"/>
      <c r="M20" s="14">
        <v>5.57E-2</v>
      </c>
      <c r="N20" s="3"/>
      <c r="O20" s="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>
      <c r="A21" s="4" t="s">
        <v>8</v>
      </c>
      <c r="B21" s="5" t="s">
        <v>46</v>
      </c>
      <c r="C21" s="6"/>
      <c r="D21" s="7"/>
      <c r="E21" s="7"/>
      <c r="F21" s="7"/>
      <c r="G21" s="7"/>
      <c r="H21" s="7"/>
      <c r="I21" s="7"/>
      <c r="J21" s="7"/>
      <c r="K21" s="7"/>
      <c r="L21" s="14">
        <v>-4.4200000000000003E-2</v>
      </c>
      <c r="M21" s="14">
        <v>-4.7699999999999999E-2</v>
      </c>
      <c r="N21" s="3"/>
      <c r="O21" s="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>
      <c r="A22" s="4" t="s">
        <v>10</v>
      </c>
      <c r="B22" s="5" t="s">
        <v>48</v>
      </c>
      <c r="C22" s="6"/>
      <c r="D22" s="7"/>
      <c r="E22" s="7"/>
      <c r="F22" s="7"/>
      <c r="G22" s="7"/>
      <c r="H22" s="7"/>
      <c r="I22" s="7"/>
      <c r="J22" s="7"/>
      <c r="K22" s="7"/>
      <c r="L22" s="14"/>
      <c r="M22" s="14">
        <f>(ABS(M21)-ABS(L21))/ABS(L21)</f>
        <v>7.9185520361990863E-2</v>
      </c>
      <c r="N22" s="3"/>
      <c r="O22" s="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>
      <c r="A23" s="4" t="s">
        <v>8</v>
      </c>
      <c r="B23" s="5" t="s">
        <v>40</v>
      </c>
      <c r="C23" s="16"/>
      <c r="D23" s="7"/>
      <c r="E23" s="7"/>
      <c r="F23" s="7"/>
      <c r="G23" s="7"/>
      <c r="H23" s="7"/>
      <c r="I23" s="7"/>
      <c r="J23" s="7"/>
      <c r="K23" s="7"/>
      <c r="L23" s="10"/>
      <c r="M23" s="10">
        <v>3.33347289589912E-2</v>
      </c>
      <c r="N23" s="3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>
      <c r="A24" s="4" t="s">
        <v>8</v>
      </c>
      <c r="B24" s="5" t="s">
        <v>37</v>
      </c>
      <c r="C24" s="8"/>
      <c r="D24" s="7"/>
      <c r="E24" s="7"/>
      <c r="F24" s="7"/>
      <c r="G24" s="7"/>
      <c r="H24" s="7"/>
      <c r="I24" s="7"/>
      <c r="J24" s="7"/>
      <c r="K24" s="7"/>
      <c r="L24" s="17"/>
      <c r="M24" s="17">
        <v>0.14449999999999999</v>
      </c>
      <c r="N24" s="3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>
      <c r="A25" s="4" t="s">
        <v>8</v>
      </c>
      <c r="B25" s="5" t="s">
        <v>7</v>
      </c>
      <c r="C25" s="6"/>
      <c r="D25" s="7"/>
      <c r="E25" s="7"/>
      <c r="F25" s="7"/>
      <c r="G25" s="7"/>
      <c r="H25" s="7"/>
      <c r="I25" s="7"/>
      <c r="J25" s="7"/>
      <c r="K25" s="7"/>
      <c r="L25" s="6">
        <v>923847637</v>
      </c>
      <c r="M25" s="6">
        <v>1260149596</v>
      </c>
      <c r="N25" s="3"/>
      <c r="O25" s="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>
      <c r="A26" s="4" t="s">
        <v>8</v>
      </c>
      <c r="B26" s="5" t="s">
        <v>23</v>
      </c>
      <c r="C26" s="6"/>
      <c r="D26" s="7"/>
      <c r="E26" s="7"/>
      <c r="F26" s="7"/>
      <c r="G26" s="7"/>
      <c r="H26" s="7"/>
      <c r="I26" s="7"/>
      <c r="J26" s="7"/>
      <c r="K26" s="7"/>
      <c r="L26" s="6"/>
      <c r="M26" s="6">
        <v>44532621</v>
      </c>
      <c r="N26" s="3"/>
      <c r="O26" s="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4" t="s">
        <v>8</v>
      </c>
      <c r="B27" s="5" t="s">
        <v>24</v>
      </c>
      <c r="C27" s="6"/>
      <c r="D27" s="7"/>
      <c r="E27" s="7"/>
      <c r="F27" s="7"/>
      <c r="G27" s="7"/>
      <c r="H27" s="7"/>
      <c r="I27" s="7"/>
      <c r="J27" s="7"/>
      <c r="K27" s="7"/>
      <c r="L27" s="6">
        <v>-7935832</v>
      </c>
      <c r="M27" s="6">
        <v>-3968172</v>
      </c>
      <c r="N27" s="3"/>
      <c r="O27" s="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5" customHeight="1">
      <c r="A28" s="4" t="s">
        <v>8</v>
      </c>
      <c r="B28" s="5" t="s">
        <v>27</v>
      </c>
      <c r="C28" s="6"/>
      <c r="D28" s="7"/>
      <c r="E28" s="7"/>
      <c r="F28" s="7"/>
      <c r="G28" s="7"/>
      <c r="H28" s="7"/>
      <c r="I28" s="7"/>
      <c r="J28" s="7"/>
      <c r="K28" s="7"/>
      <c r="L28" s="6"/>
      <c r="M28" s="6">
        <v>8650600</v>
      </c>
      <c r="N28" s="18" t="s">
        <v>50</v>
      </c>
      <c r="P28" s="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>
      <c r="A29" s="4" t="s">
        <v>8</v>
      </c>
      <c r="B29" s="5" t="s">
        <v>44</v>
      </c>
      <c r="C29" s="8"/>
      <c r="D29" s="7"/>
      <c r="E29" s="7"/>
      <c r="F29" s="7"/>
      <c r="G29" s="7"/>
      <c r="H29" s="7"/>
      <c r="I29" s="7"/>
      <c r="J29" s="7"/>
      <c r="K29" s="7"/>
      <c r="L29" s="6">
        <v>12098440</v>
      </c>
      <c r="M29" s="6">
        <v>10879958</v>
      </c>
      <c r="N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>
      <c r="A30" s="4" t="s">
        <v>10</v>
      </c>
      <c r="B30" s="5" t="s">
        <v>51</v>
      </c>
      <c r="C30" s="8"/>
      <c r="D30" s="7"/>
      <c r="E30" s="7"/>
      <c r="F30" s="7"/>
      <c r="G30" s="7"/>
      <c r="H30" s="7"/>
      <c r="I30" s="7"/>
      <c r="J30" s="7"/>
      <c r="K30" s="7"/>
      <c r="L30" s="10"/>
      <c r="M30" s="10">
        <f>(M29-L29)/L29</f>
        <v>-0.10071397634736379</v>
      </c>
      <c r="N30" s="3"/>
      <c r="O30" s="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4" t="s">
        <v>8</v>
      </c>
      <c r="B31" s="5" t="s">
        <v>47</v>
      </c>
      <c r="C31" s="8"/>
      <c r="D31" s="7"/>
      <c r="E31" s="7"/>
      <c r="F31" s="7"/>
      <c r="G31" s="7"/>
      <c r="H31" s="7"/>
      <c r="I31" s="7"/>
      <c r="J31" s="7"/>
      <c r="K31" s="7"/>
      <c r="L31" s="6">
        <v>6119216</v>
      </c>
      <c r="M31" s="6">
        <v>9154889</v>
      </c>
      <c r="N31" s="3"/>
      <c r="O31" s="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>
      <c r="A32" s="4" t="s">
        <v>10</v>
      </c>
      <c r="B32" s="5" t="s">
        <v>52</v>
      </c>
      <c r="C32" s="8"/>
      <c r="D32" s="7"/>
      <c r="E32" s="7"/>
      <c r="F32" s="7"/>
      <c r="G32" s="7"/>
      <c r="H32" s="7"/>
      <c r="I32" s="7"/>
      <c r="J32" s="7"/>
      <c r="K32" s="7"/>
      <c r="L32" s="10"/>
      <c r="M32" s="10">
        <f>(M31-L31)/L31</f>
        <v>0.49608855121309658</v>
      </c>
      <c r="N32" s="3"/>
      <c r="O32" s="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>
      <c r="A33" s="4" t="s">
        <v>8</v>
      </c>
      <c r="B33" s="5" t="s">
        <v>49</v>
      </c>
      <c r="C33" s="8"/>
      <c r="D33" s="7"/>
      <c r="E33" s="7"/>
      <c r="F33" s="7"/>
      <c r="G33" s="7"/>
      <c r="H33" s="7"/>
      <c r="I33" s="7"/>
      <c r="J33" s="7"/>
      <c r="K33" s="7"/>
      <c r="L33" s="10"/>
      <c r="M33" s="10">
        <v>0.55392132231972302</v>
      </c>
      <c r="N33" s="3"/>
      <c r="O33" s="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>
      <c r="A34" s="4" t="s">
        <v>8</v>
      </c>
      <c r="B34" s="5" t="s">
        <v>16</v>
      </c>
      <c r="C34" s="6"/>
      <c r="D34" s="7"/>
      <c r="E34" s="7"/>
      <c r="F34" s="7"/>
      <c r="G34" s="7"/>
      <c r="H34" s="7"/>
      <c r="I34" s="7"/>
      <c r="J34" s="7"/>
      <c r="K34" s="7"/>
      <c r="L34" s="6"/>
      <c r="M34" s="6">
        <v>1079873967</v>
      </c>
      <c r="N34" s="3"/>
      <c r="O34" s="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4" t="s">
        <v>8</v>
      </c>
      <c r="B35" s="5" t="s">
        <v>45</v>
      </c>
      <c r="C35" s="6"/>
      <c r="D35" s="7"/>
      <c r="E35" s="7"/>
      <c r="F35" s="7"/>
      <c r="G35" s="7"/>
      <c r="H35" s="7"/>
      <c r="I35" s="7"/>
      <c r="J35" s="7"/>
      <c r="K35" s="7"/>
      <c r="L35" s="14"/>
      <c r="M35" s="14">
        <v>0.14349999999999999</v>
      </c>
      <c r="N35" s="3"/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>
      <c r="A36" s="4" t="s">
        <v>8</v>
      </c>
      <c r="B36" s="5" t="s">
        <v>18</v>
      </c>
      <c r="C36" s="6"/>
      <c r="D36" s="7"/>
      <c r="E36" s="7"/>
      <c r="F36" s="7"/>
      <c r="G36" s="7"/>
      <c r="H36" s="7"/>
      <c r="I36" s="7"/>
      <c r="J36" s="7"/>
      <c r="L36" s="6">
        <v>147275262</v>
      </c>
      <c r="M36" s="6">
        <v>180275629</v>
      </c>
      <c r="N36" s="3"/>
      <c r="O36" s="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4" t="s">
        <v>10</v>
      </c>
      <c r="B37" s="5" t="s">
        <v>31</v>
      </c>
      <c r="C37" s="6"/>
      <c r="D37" s="7"/>
      <c r="E37" s="7"/>
      <c r="F37" s="7"/>
      <c r="G37" s="7"/>
      <c r="H37" s="7"/>
      <c r="I37" s="7"/>
      <c r="J37" s="7"/>
      <c r="K37" s="7"/>
      <c r="L37" s="19"/>
      <c r="M37" s="19">
        <f>M34/M36</f>
        <v>5.9901273011228824</v>
      </c>
      <c r="N37" s="3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4" t="s">
        <v>8</v>
      </c>
      <c r="B38" s="5" t="s">
        <v>26</v>
      </c>
      <c r="C38" s="6"/>
      <c r="D38" s="20"/>
      <c r="E38" s="7"/>
      <c r="F38" s="7"/>
      <c r="G38" s="7"/>
      <c r="H38" s="7"/>
      <c r="I38" s="7"/>
      <c r="J38" s="7"/>
      <c r="K38" s="7"/>
      <c r="L38" s="10"/>
      <c r="M38" s="14">
        <v>2.23E-2</v>
      </c>
      <c r="N38" s="3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4" t="s">
        <v>8</v>
      </c>
      <c r="B39" s="5" t="s">
        <v>35</v>
      </c>
      <c r="C39" s="6"/>
      <c r="D39" s="7"/>
      <c r="E39" s="7"/>
      <c r="F39" s="7"/>
      <c r="G39" s="7"/>
      <c r="H39" s="7"/>
      <c r="I39" s="7"/>
      <c r="J39" s="7"/>
      <c r="K39" s="7"/>
      <c r="L39" s="10"/>
      <c r="M39" s="14">
        <v>0.1487</v>
      </c>
      <c r="N39" s="3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>
      <c r="A40" s="4" t="s">
        <v>8</v>
      </c>
      <c r="B40" s="5" t="s">
        <v>30</v>
      </c>
      <c r="C40" s="6"/>
      <c r="D40" s="7"/>
      <c r="E40" s="7"/>
      <c r="F40" s="7"/>
      <c r="G40" s="7"/>
      <c r="H40" s="7"/>
      <c r="I40" s="7"/>
      <c r="J40" s="7"/>
      <c r="K40" s="7"/>
      <c r="L40" s="6">
        <v>-59296</v>
      </c>
      <c r="M40" s="6">
        <v>-131095</v>
      </c>
      <c r="N40" s="3"/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4" t="s">
        <v>10</v>
      </c>
      <c r="B41" s="5" t="s">
        <v>56</v>
      </c>
      <c r="C41" s="6"/>
      <c r="D41" s="7"/>
      <c r="E41" s="7"/>
      <c r="F41" s="7"/>
      <c r="G41" s="7"/>
      <c r="H41" s="7"/>
      <c r="I41" s="7"/>
      <c r="J41" s="7"/>
      <c r="K41" s="7"/>
      <c r="L41" s="7"/>
      <c r="M41" s="6">
        <f>M26/(ABS(M18)+ABS(M27))</f>
        <v>9.8572347800679978</v>
      </c>
      <c r="N41" s="3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4" t="s">
        <v>8</v>
      </c>
      <c r="B42" s="5" t="s">
        <v>53</v>
      </c>
      <c r="C42" s="6"/>
      <c r="D42" s="7"/>
      <c r="E42" s="7"/>
      <c r="F42" s="7"/>
      <c r="G42" s="7"/>
      <c r="H42" s="7"/>
      <c r="I42" s="7"/>
      <c r="J42" s="7"/>
      <c r="K42" s="7"/>
      <c r="L42" s="7"/>
      <c r="M42" s="4">
        <v>8.8000000000000007</v>
      </c>
      <c r="N42" s="3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>
      <c r="A43" s="4" t="s">
        <v>8</v>
      </c>
      <c r="B43" s="5" t="s">
        <v>54</v>
      </c>
      <c r="C43" s="6"/>
      <c r="D43" s="7"/>
      <c r="E43" s="7"/>
      <c r="F43" s="7"/>
      <c r="G43" s="7"/>
      <c r="H43" s="7"/>
      <c r="I43" s="7"/>
      <c r="J43" s="7"/>
      <c r="K43" s="7"/>
      <c r="L43" s="7"/>
      <c r="M43" s="4">
        <v>1.25</v>
      </c>
      <c r="N43" s="3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4" t="s">
        <v>8</v>
      </c>
      <c r="B44" s="5" t="s">
        <v>20</v>
      </c>
      <c r="C44" s="6"/>
      <c r="D44" s="7"/>
      <c r="E44" s="7"/>
      <c r="F44" s="7"/>
      <c r="G44" s="7"/>
      <c r="H44" s="7"/>
      <c r="I44" s="7"/>
      <c r="J44" s="7"/>
      <c r="K44" s="7"/>
      <c r="L44" s="7"/>
      <c r="M44" s="6">
        <v>45969647</v>
      </c>
      <c r="N44" s="3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4" t="s">
        <v>8</v>
      </c>
      <c r="B45" s="5" t="s">
        <v>55</v>
      </c>
      <c r="C45" s="6"/>
      <c r="D45" s="7"/>
      <c r="E45" s="7"/>
      <c r="F45" s="7"/>
      <c r="G45" s="7"/>
      <c r="H45" s="7"/>
      <c r="I45" s="7"/>
      <c r="J45" s="7"/>
      <c r="K45" s="7"/>
      <c r="L45" s="7"/>
      <c r="M45" s="6">
        <v>216992810487350</v>
      </c>
      <c r="N45" s="3"/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A46" s="4" t="s">
        <v>10</v>
      </c>
      <c r="B46" s="5" t="s">
        <v>57</v>
      </c>
      <c r="C46" s="6"/>
      <c r="D46" s="7"/>
      <c r="E46" s="7"/>
      <c r="F46" s="7"/>
      <c r="G46" s="7"/>
      <c r="H46" s="7"/>
      <c r="I46" s="7"/>
      <c r="J46" s="7"/>
      <c r="K46" s="7"/>
      <c r="L46" s="8">
        <f t="shared" ref="L46" si="3">L14+L18-ABS(L40)</f>
        <v>16231140</v>
      </c>
      <c r="M46" s="8">
        <f>M14+M18-ABS(M40)</f>
        <v>24408423</v>
      </c>
      <c r="N46" s="3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4" t="s">
        <v>10</v>
      </c>
      <c r="B47" s="5" t="s">
        <v>58</v>
      </c>
      <c r="C47" s="6"/>
      <c r="D47" s="7"/>
      <c r="E47" s="7"/>
      <c r="F47" s="7"/>
      <c r="G47" s="7"/>
      <c r="H47" s="7"/>
      <c r="I47" s="7"/>
      <c r="J47" s="7"/>
      <c r="K47" s="7"/>
      <c r="L47" s="7"/>
      <c r="M47" s="10">
        <f>(M46-L46)/L46</f>
        <v>0.50380213589433642</v>
      </c>
      <c r="N47" s="3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hidden="1">
      <c r="A48" s="2"/>
      <c r="B48" s="9"/>
      <c r="C48" s="1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hidden="1">
      <c r="A49" s="2"/>
      <c r="B49" s="9"/>
      <c r="C49" s="11"/>
      <c r="D49" s="2"/>
      <c r="E49" s="2"/>
      <c r="F49" s="2"/>
      <c r="G49" s="2"/>
      <c r="H49" s="3"/>
      <c r="I49" s="3"/>
      <c r="J49" s="3"/>
      <c r="K49" s="3"/>
      <c r="L49" s="3"/>
      <c r="M49" s="3"/>
      <c r="N49" s="3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hidden="1">
      <c r="A50" s="2"/>
      <c r="B50" s="9"/>
      <c r="C50" s="11"/>
      <c r="D50" s="2"/>
      <c r="E50" s="2"/>
      <c r="F50" s="2"/>
      <c r="G50" s="2"/>
      <c r="H50" s="2"/>
      <c r="I50" s="2"/>
      <c r="J50" s="2"/>
      <c r="K50" s="3"/>
      <c r="L50" s="2"/>
      <c r="M50" s="2"/>
      <c r="N50" s="3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hidden="1">
      <c r="A51" s="2"/>
      <c r="B51" s="9"/>
      <c r="C51" s="11"/>
      <c r="D51" s="2"/>
      <c r="E51" s="2"/>
      <c r="F51" s="2"/>
      <c r="G51" s="2"/>
      <c r="H51" s="2"/>
      <c r="I51" s="2"/>
      <c r="J51" s="2"/>
      <c r="K51" s="2"/>
      <c r="L51" s="2"/>
      <c r="M51" s="2"/>
      <c r="N51" s="3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hidden="1">
      <c r="A52" s="2"/>
      <c r="B52" s="9"/>
      <c r="C52" s="1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hidden="1">
      <c r="A53" s="2"/>
      <c r="B53" s="9"/>
      <c r="C53" s="1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hidden="1">
      <c r="A54" s="2"/>
      <c r="B54" s="2"/>
      <c r="C54" s="1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hidden="1">
      <c r="A55" s="2"/>
      <c r="B55" s="2"/>
      <c r="C55" s="1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hidden="1">
      <c r="A56" s="2"/>
      <c r="B56" s="2"/>
      <c r="C56" s="11"/>
      <c r="D56" s="2"/>
      <c r="E56" s="2"/>
      <c r="F56" s="2"/>
      <c r="G56" s="2"/>
      <c r="H56" s="2"/>
      <c r="I56" s="2"/>
      <c r="J56" s="2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hidden="1">
      <c r="A57" s="2"/>
      <c r="B57" s="2"/>
      <c r="C57" s="11"/>
      <c r="D57" s="2"/>
      <c r="E57" s="2"/>
      <c r="F57" s="2"/>
      <c r="G57" s="2"/>
      <c r="H57" s="2"/>
      <c r="I57" s="2"/>
      <c r="J57" s="21"/>
      <c r="K57" s="2"/>
      <c r="L57" s="13"/>
      <c r="M57" s="1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hidden="1">
      <c r="A58" s="2"/>
      <c r="B58" s="2"/>
      <c r="C58" s="11"/>
      <c r="D58" s="2"/>
      <c r="E58" s="2"/>
      <c r="F58" s="2"/>
      <c r="G58" s="2"/>
      <c r="H58" s="2"/>
      <c r="I58" s="2"/>
      <c r="J58" s="21"/>
      <c r="K58" s="2"/>
      <c r="L58" s="13"/>
      <c r="M58" s="1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hidden="1">
      <c r="A59" s="2"/>
      <c r="B59" s="2"/>
      <c r="C59" s="11"/>
      <c r="D59" s="2"/>
      <c r="E59" s="2"/>
      <c r="F59" s="2"/>
      <c r="G59" s="2"/>
      <c r="H59" s="2"/>
      <c r="I59" s="2"/>
      <c r="J59" s="21"/>
      <c r="K59" s="2"/>
      <c r="L59" s="13"/>
      <c r="M59" s="1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hidden="1">
      <c r="A60" s="2"/>
      <c r="B60" s="2"/>
      <c r="C60" s="11"/>
      <c r="D60" s="2"/>
      <c r="E60" s="2"/>
      <c r="F60" s="2"/>
      <c r="G60" s="2"/>
      <c r="H60" s="2"/>
      <c r="I60" s="2"/>
      <c r="J60" s="21"/>
      <c r="K60" s="2"/>
      <c r="L60" s="13"/>
      <c r="M60" s="1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hidden="1">
      <c r="A61" s="2"/>
      <c r="B61" s="2"/>
      <c r="C61" s="11"/>
      <c r="D61" s="2"/>
      <c r="E61" s="2"/>
      <c r="F61" s="2"/>
      <c r="G61" s="2"/>
      <c r="H61" s="2"/>
      <c r="I61" s="2"/>
      <c r="J61" s="21"/>
      <c r="K61" s="2"/>
      <c r="L61" s="13"/>
      <c r="M61" s="1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hidden="1">
      <c r="A62" s="2"/>
      <c r="B62" s="2"/>
      <c r="C62" s="11"/>
      <c r="D62" s="2"/>
      <c r="E62" s="2"/>
      <c r="F62" s="2"/>
      <c r="G62" s="2"/>
      <c r="H62" s="2"/>
      <c r="I62" s="2"/>
      <c r="J62" s="2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hidden="1">
      <c r="A63" s="2"/>
      <c r="B63" s="2"/>
      <c r="C63" s="11"/>
      <c r="D63" s="2"/>
      <c r="E63" s="2"/>
      <c r="F63" s="2"/>
      <c r="G63" s="2"/>
      <c r="H63" s="2"/>
      <c r="I63" s="3"/>
      <c r="J63" s="2"/>
      <c r="K63" s="2"/>
      <c r="L63" s="1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hidden="1">
      <c r="A64" s="2"/>
      <c r="B64" s="2"/>
      <c r="C64" s="1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hidden="1">
      <c r="A65" s="2"/>
      <c r="B65" s="2"/>
      <c r="C65" s="1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hidden="1">
      <c r="A66" s="2"/>
      <c r="B66" s="2"/>
      <c r="C66" s="11"/>
      <c r="D66" s="2"/>
      <c r="E66" s="2"/>
      <c r="F66" s="2"/>
      <c r="G66" s="2"/>
      <c r="H66" s="2"/>
      <c r="I66" s="2"/>
      <c r="J66" s="3"/>
      <c r="K66" s="2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hidden="1">
      <c r="A67" s="2"/>
      <c r="B67" s="2"/>
      <c r="C67" s="11"/>
      <c r="D67" s="2"/>
      <c r="E67" s="2"/>
      <c r="F67" s="2"/>
      <c r="G67" s="2"/>
      <c r="H67" s="2"/>
      <c r="I67" s="2"/>
      <c r="J67" s="3"/>
      <c r="K67" s="2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hidden="1">
      <c r="A68" s="2"/>
      <c r="B68" s="2"/>
      <c r="C68" s="1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hidden="1">
      <c r="A69" s="2"/>
      <c r="B69" s="2"/>
      <c r="C69" s="1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hidden="1">
      <c r="A70" s="2"/>
      <c r="B70" s="2"/>
      <c r="C70" s="1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hidden="1">
      <c r="A71" s="2"/>
      <c r="B71" s="2"/>
      <c r="C71" s="1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hidden="1">
      <c r="A72" s="2"/>
      <c r="B72" s="2"/>
      <c r="C72" s="1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hidden="1">
      <c r="A73" s="2"/>
      <c r="B73" s="2"/>
      <c r="C73" s="1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hidden="1">
      <c r="A74" s="2"/>
      <c r="B74" s="2"/>
      <c r="C74" s="1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hidden="1">
      <c r="A75" s="2"/>
      <c r="B75" s="2"/>
      <c r="C75" s="1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hidden="1">
      <c r="A76" s="2"/>
      <c r="B76" s="2"/>
      <c r="C76" s="1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hidden="1">
      <c r="A77" s="2"/>
      <c r="B77" s="2"/>
      <c r="C77" s="1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hidden="1">
      <c r="A78" s="2"/>
      <c r="B78" s="2"/>
      <c r="C78" s="1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hidden="1">
      <c r="A79" s="2"/>
      <c r="B79" s="2"/>
      <c r="C79" s="1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hidden="1">
      <c r="A80" s="2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hidden="1">
      <c r="A81" s="2"/>
      <c r="B81" s="2"/>
      <c r="C81" s="1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hidden="1">
      <c r="A82" s="2"/>
      <c r="B82" s="2"/>
      <c r="C82" s="1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hidden="1">
      <c r="A83" s="2"/>
      <c r="B83" s="2"/>
      <c r="C83" s="1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hidden="1">
      <c r="A84" s="2"/>
      <c r="B84" s="2"/>
      <c r="C84" s="1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hidden="1">
      <c r="A85" s="2"/>
      <c r="B85" s="2"/>
      <c r="C85" s="1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hidden="1">
      <c r="A86" s="2"/>
      <c r="B86" s="2"/>
      <c r="C86" s="1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hidden="1">
      <c r="A87" s="2"/>
      <c r="B87" s="2"/>
      <c r="C87" s="1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hidden="1">
      <c r="A88" s="2"/>
      <c r="B88" s="2"/>
      <c r="C88" s="1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hidden="1">
      <c r="A89" s="2"/>
      <c r="B89" s="2"/>
      <c r="C89" s="1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hidden="1">
      <c r="A90" s="2"/>
      <c r="B90" s="2"/>
      <c r="C90" s="1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hidden="1">
      <c r="A91" s="2"/>
      <c r="B91" s="2"/>
      <c r="C91" s="1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hidden="1">
      <c r="A92" s="2"/>
      <c r="B92" s="2"/>
      <c r="C92" s="1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hidden="1">
      <c r="A93" s="2"/>
      <c r="B93" s="2"/>
      <c r="C93" s="1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hidden="1">
      <c r="A94" s="2"/>
      <c r="B94" s="2"/>
      <c r="C94" s="1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hidden="1">
      <c r="A95" s="2"/>
      <c r="B95" s="2"/>
      <c r="C95" s="1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hidden="1">
      <c r="A96" s="2"/>
      <c r="B96" s="2"/>
      <c r="C96" s="1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hidden="1">
      <c r="A97" s="2"/>
      <c r="B97" s="2"/>
      <c r="C97" s="1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hidden="1">
      <c r="A98" s="2"/>
      <c r="B98" s="2"/>
      <c r="C98" s="1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hidden="1">
      <c r="A99" s="2"/>
      <c r="B99" s="2"/>
      <c r="C99" s="1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hidden="1">
      <c r="A100" s="2"/>
      <c r="B100" s="2"/>
      <c r="C100" s="1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hidden="1">
      <c r="A101" s="2"/>
      <c r="B101" s="2"/>
      <c r="C101" s="1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hidden="1">
      <c r="A102" s="2"/>
      <c r="B102" s="2"/>
      <c r="C102" s="1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hidden="1">
      <c r="A103" s="2"/>
      <c r="B103" s="2"/>
      <c r="C103" s="1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hidden="1">
      <c r="A104" s="2"/>
      <c r="B104" s="2"/>
      <c r="C104" s="1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hidden="1">
      <c r="A105" s="2"/>
      <c r="B105" s="2"/>
      <c r="C105" s="1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hidden="1">
      <c r="A106" s="2"/>
      <c r="B106" s="2"/>
      <c r="C106" s="1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hidden="1">
      <c r="A107" s="2"/>
      <c r="B107" s="2"/>
      <c r="C107" s="1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hidden="1">
      <c r="A108" s="2"/>
      <c r="B108" s="2"/>
      <c r="C108" s="1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hidden="1">
      <c r="A109" s="2"/>
      <c r="B109" s="2"/>
      <c r="C109" s="1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hidden="1">
      <c r="A110" s="2"/>
      <c r="B110" s="2"/>
      <c r="C110" s="1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hidden="1">
      <c r="A111" s="2"/>
      <c r="B111" s="2"/>
      <c r="C111" s="1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hidden="1">
      <c r="A112" s="2"/>
      <c r="B112" s="2"/>
      <c r="C112" s="1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hidden="1">
      <c r="A113" s="2"/>
      <c r="B113" s="2"/>
      <c r="C113" s="1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hidden="1">
      <c r="A114" s="2"/>
      <c r="B114" s="2"/>
      <c r="C114" s="1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hidden="1">
      <c r="A115" s="2"/>
      <c r="B115" s="2"/>
      <c r="C115" s="1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hidden="1">
      <c r="A116" s="2"/>
      <c r="B116" s="2"/>
      <c r="C116" s="1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hidden="1">
      <c r="A117" s="2"/>
      <c r="B117" s="2"/>
      <c r="C117" s="1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hidden="1">
      <c r="A118" s="2"/>
      <c r="B118" s="2"/>
      <c r="C118" s="1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hidden="1">
      <c r="A119" s="2"/>
      <c r="B119" s="2"/>
      <c r="C119" s="1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hidden="1">
      <c r="A120" s="2"/>
      <c r="B120" s="2"/>
      <c r="C120" s="1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hidden="1">
      <c r="A121" s="2"/>
      <c r="B121" s="2"/>
      <c r="C121" s="1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hidden="1">
      <c r="A122" s="2"/>
      <c r="B122" s="2"/>
      <c r="C122" s="1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hidden="1">
      <c r="A123" s="2"/>
      <c r="B123" s="2"/>
      <c r="C123" s="1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hidden="1">
      <c r="A124" s="2"/>
      <c r="B124" s="2"/>
      <c r="C124" s="1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hidden="1">
      <c r="A125" s="2"/>
      <c r="B125" s="2"/>
      <c r="C125" s="1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hidden="1">
      <c r="A126" s="2"/>
      <c r="B126" s="2"/>
      <c r="C126" s="1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hidden="1">
      <c r="A127" s="2"/>
      <c r="B127" s="2"/>
      <c r="C127" s="1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hidden="1">
      <c r="A128" s="2"/>
      <c r="B128" s="2"/>
      <c r="C128" s="1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hidden="1">
      <c r="A129" s="2"/>
      <c r="B129" s="2"/>
      <c r="C129" s="1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hidden="1">
      <c r="A130" s="2"/>
      <c r="B130" s="2"/>
      <c r="C130" s="1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hidden="1">
      <c r="A131" s="2"/>
      <c r="B131" s="2"/>
      <c r="C131" s="1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hidden="1">
      <c r="A132" s="2"/>
      <c r="B132" s="2"/>
      <c r="C132" s="1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hidden="1">
      <c r="A133" s="2"/>
      <c r="B133" s="2"/>
      <c r="C133" s="1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hidden="1">
      <c r="A134" s="2"/>
      <c r="B134" s="2"/>
      <c r="C134" s="1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hidden="1">
      <c r="A135" s="2"/>
      <c r="B135" s="2"/>
      <c r="C135" s="1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hidden="1">
      <c r="A136" s="2"/>
      <c r="B136" s="2"/>
      <c r="C136" s="1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hidden="1">
      <c r="A137" s="2"/>
      <c r="B137" s="2"/>
      <c r="C137" s="1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hidden="1">
      <c r="A138" s="2"/>
      <c r="B138" s="2"/>
      <c r="C138" s="1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hidden="1">
      <c r="A139" s="2"/>
      <c r="B139" s="2"/>
      <c r="C139" s="1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hidden="1">
      <c r="A140" s="2"/>
      <c r="B140" s="2"/>
      <c r="C140" s="1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hidden="1">
      <c r="A141" s="2"/>
      <c r="B141" s="2"/>
      <c r="C141" s="1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hidden="1">
      <c r="A142" s="2"/>
      <c r="B142" s="2"/>
      <c r="C142" s="1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hidden="1">
      <c r="A143" s="2"/>
      <c r="B143" s="2"/>
      <c r="C143" s="1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hidden="1">
      <c r="A144" s="2"/>
      <c r="B144" s="2"/>
      <c r="C144" s="1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hidden="1">
      <c r="A145" s="2"/>
      <c r="B145" s="2"/>
      <c r="C145" s="1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hidden="1">
      <c r="A146" s="2"/>
      <c r="B146" s="2"/>
      <c r="C146" s="1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hidden="1">
      <c r="A147" s="2"/>
      <c r="B147" s="2"/>
      <c r="C147" s="1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hidden="1">
      <c r="A148" s="2"/>
      <c r="B148" s="2"/>
      <c r="C148" s="1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hidden="1">
      <c r="A149" s="2"/>
      <c r="B149" s="2"/>
      <c r="C149" s="1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hidden="1">
      <c r="A150" s="2"/>
      <c r="B150" s="2"/>
      <c r="C150" s="1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hidden="1">
      <c r="A151" s="2"/>
      <c r="B151" s="2"/>
      <c r="C151" s="1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hidden="1">
      <c r="A152" s="2"/>
      <c r="B152" s="2"/>
      <c r="C152" s="1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hidden="1">
      <c r="A153" s="2"/>
      <c r="B153" s="2"/>
      <c r="C153" s="1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hidden="1">
      <c r="A154" s="2"/>
      <c r="B154" s="2"/>
      <c r="C154" s="1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hidden="1">
      <c r="A155" s="2"/>
      <c r="B155" s="2"/>
      <c r="C155" s="1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hidden="1">
      <c r="A156" s="2"/>
      <c r="B156" s="2"/>
      <c r="C156" s="1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hidden="1">
      <c r="A157" s="2"/>
      <c r="B157" s="2"/>
      <c r="C157" s="1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hidden="1">
      <c r="A158" s="2"/>
      <c r="B158" s="2"/>
      <c r="C158" s="1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hidden="1">
      <c r="A159" s="2"/>
      <c r="B159" s="2"/>
      <c r="C159" s="1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hidden="1">
      <c r="A160" s="2"/>
      <c r="B160" s="2"/>
      <c r="C160" s="1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hidden="1">
      <c r="A161" s="2"/>
      <c r="B161" s="2"/>
      <c r="C161" s="1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hidden="1">
      <c r="A162" s="2"/>
      <c r="B162" s="2"/>
      <c r="C162" s="1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hidden="1">
      <c r="A163" s="2"/>
      <c r="B163" s="2"/>
      <c r="C163" s="1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hidden="1">
      <c r="A164" s="2"/>
      <c r="B164" s="2"/>
      <c r="C164" s="1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hidden="1">
      <c r="A165" s="2"/>
      <c r="B165" s="2"/>
      <c r="C165" s="1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hidden="1">
      <c r="A166" s="2"/>
      <c r="B166" s="2"/>
      <c r="C166" s="1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hidden="1">
      <c r="A167" s="2"/>
      <c r="B167" s="2"/>
      <c r="C167" s="1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hidden="1">
      <c r="A168" s="2"/>
      <c r="B168" s="2"/>
      <c r="C168" s="1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hidden="1">
      <c r="A169" s="2"/>
      <c r="B169" s="2"/>
      <c r="C169" s="1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hidden="1">
      <c r="A170" s="2"/>
      <c r="B170" s="2"/>
      <c r="C170" s="1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hidden="1">
      <c r="A171" s="2"/>
      <c r="B171" s="2"/>
      <c r="C171" s="1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hidden="1">
      <c r="A172" s="2"/>
      <c r="B172" s="2"/>
      <c r="C172" s="1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hidden="1">
      <c r="A173" s="2"/>
      <c r="B173" s="2"/>
      <c r="C173" s="1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hidden="1">
      <c r="A174" s="2"/>
      <c r="B174" s="2"/>
      <c r="C174" s="1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hidden="1">
      <c r="A175" s="2"/>
      <c r="B175" s="2"/>
      <c r="C175" s="1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hidden="1">
      <c r="A176" s="2"/>
      <c r="B176" s="2"/>
      <c r="C176" s="1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hidden="1">
      <c r="A177" s="2"/>
      <c r="B177" s="2"/>
      <c r="C177" s="1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hidden="1">
      <c r="A178" s="2"/>
      <c r="B178" s="2"/>
      <c r="C178" s="1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hidden="1">
      <c r="A179" s="2"/>
      <c r="B179" s="2"/>
      <c r="C179" s="1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hidden="1">
      <c r="A180" s="2"/>
      <c r="B180" s="2"/>
      <c r="C180" s="1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hidden="1">
      <c r="A181" s="2"/>
      <c r="B181" s="2"/>
      <c r="C181" s="1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hidden="1">
      <c r="A182" s="2"/>
      <c r="B182" s="2"/>
      <c r="C182" s="1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hidden="1">
      <c r="A183" s="2"/>
      <c r="B183" s="2"/>
      <c r="C183" s="1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hidden="1">
      <c r="A184" s="2"/>
      <c r="B184" s="2"/>
      <c r="C184" s="1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hidden="1">
      <c r="A185" s="2"/>
      <c r="B185" s="2"/>
      <c r="C185" s="1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hidden="1">
      <c r="A186" s="2"/>
      <c r="B186" s="2"/>
      <c r="C186" s="1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hidden="1">
      <c r="A187" s="2"/>
      <c r="B187" s="2"/>
      <c r="C187" s="1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hidden="1">
      <c r="A188" s="2"/>
      <c r="B188" s="2"/>
      <c r="C188" s="1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hidden="1">
      <c r="A189" s="2"/>
      <c r="B189" s="2"/>
      <c r="C189" s="1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hidden="1">
      <c r="A190" s="2"/>
      <c r="B190" s="2"/>
      <c r="C190" s="1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hidden="1">
      <c r="A191" s="2"/>
      <c r="B191" s="2"/>
      <c r="C191" s="1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hidden="1">
      <c r="A192" s="2"/>
      <c r="B192" s="2"/>
      <c r="C192" s="1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hidden="1">
      <c r="A193" s="2"/>
      <c r="B193" s="2"/>
      <c r="C193" s="1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hidden="1">
      <c r="A194" s="2"/>
      <c r="B194" s="2"/>
      <c r="C194" s="1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hidden="1">
      <c r="A195" s="2"/>
      <c r="B195" s="2"/>
      <c r="C195" s="1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hidden="1">
      <c r="A196" s="2"/>
      <c r="B196" s="2"/>
      <c r="C196" s="1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hidden="1">
      <c r="A197" s="2"/>
      <c r="B197" s="2"/>
      <c r="C197" s="1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hidden="1">
      <c r="A198" s="2"/>
      <c r="B198" s="2"/>
      <c r="C198" s="1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hidden="1">
      <c r="A199" s="2"/>
      <c r="B199" s="2"/>
      <c r="C199" s="1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hidden="1">
      <c r="A200" s="2"/>
      <c r="B200" s="2"/>
      <c r="C200" s="1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hidden="1">
      <c r="A201" s="2"/>
      <c r="B201" s="2"/>
      <c r="C201" s="1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hidden="1">
      <c r="A202" s="2"/>
      <c r="B202" s="2"/>
      <c r="C202" s="1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hidden="1">
      <c r="A203" s="2"/>
      <c r="B203" s="2"/>
      <c r="C203" s="1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hidden="1">
      <c r="A204" s="2"/>
      <c r="B204" s="2"/>
      <c r="C204" s="1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hidden="1">
      <c r="A205" s="2"/>
      <c r="B205" s="2"/>
      <c r="C205" s="1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hidden="1">
      <c r="A206" s="2"/>
      <c r="B206" s="2"/>
      <c r="C206" s="1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hidden="1">
      <c r="A207" s="2"/>
      <c r="B207" s="2"/>
      <c r="C207" s="1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hidden="1">
      <c r="A208" s="2"/>
      <c r="B208" s="2"/>
      <c r="C208" s="1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hidden="1">
      <c r="A209" s="2"/>
      <c r="B209" s="2"/>
      <c r="C209" s="1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hidden="1">
      <c r="A210" s="2"/>
      <c r="B210" s="2"/>
      <c r="C210" s="1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hidden="1">
      <c r="A211" s="2"/>
      <c r="B211" s="2"/>
      <c r="C211" s="1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hidden="1">
      <c r="A212" s="2"/>
      <c r="B212" s="2"/>
      <c r="C212" s="1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hidden="1">
      <c r="A213" s="2"/>
      <c r="B213" s="2"/>
      <c r="C213" s="1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hidden="1">
      <c r="A214" s="2"/>
      <c r="B214" s="2"/>
      <c r="C214" s="1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hidden="1">
      <c r="A215" s="2"/>
      <c r="B215" s="2"/>
      <c r="C215" s="1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hidden="1">
      <c r="A216" s="2"/>
      <c r="B216" s="2"/>
      <c r="C216" s="1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hidden="1">
      <c r="A217" s="2"/>
      <c r="B217" s="2"/>
      <c r="C217" s="1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hidden="1">
      <c r="A218" s="2"/>
      <c r="B218" s="2"/>
      <c r="C218" s="1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hidden="1">
      <c r="A219" s="2"/>
      <c r="B219" s="2"/>
      <c r="C219" s="1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hidden="1">
      <c r="A220" s="2"/>
      <c r="B220" s="2"/>
      <c r="C220" s="1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hidden="1">
      <c r="A221" s="2"/>
      <c r="B221" s="2"/>
      <c r="C221" s="1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hidden="1">
      <c r="A222" s="2"/>
      <c r="B222" s="2"/>
      <c r="C222" s="1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hidden="1">
      <c r="A223" s="2"/>
      <c r="B223" s="2"/>
      <c r="C223" s="1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hidden="1">
      <c r="A224" s="2"/>
      <c r="B224" s="2"/>
      <c r="C224" s="1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hidden="1">
      <c r="A225" s="2"/>
      <c r="B225" s="2"/>
      <c r="C225" s="1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hidden="1">
      <c r="A226" s="2"/>
      <c r="B226" s="2"/>
      <c r="C226" s="1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hidden="1">
      <c r="A227" s="2"/>
      <c r="B227" s="2"/>
      <c r="C227" s="1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hidden="1">
      <c r="A228" s="2"/>
      <c r="B228" s="2"/>
      <c r="C228" s="1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hidden="1">
      <c r="A229" s="2"/>
      <c r="B229" s="2"/>
      <c r="C229" s="1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hidden="1">
      <c r="A230" s="2"/>
      <c r="B230" s="2"/>
      <c r="C230" s="1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hidden="1">
      <c r="A231" s="2"/>
      <c r="B231" s="2"/>
      <c r="C231" s="1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hidden="1">
      <c r="A232" s="2"/>
      <c r="B232" s="2"/>
      <c r="C232" s="1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hidden="1">
      <c r="A233" s="2"/>
      <c r="B233" s="2"/>
      <c r="C233" s="1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hidden="1">
      <c r="A234" s="2"/>
      <c r="B234" s="2"/>
      <c r="C234" s="1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hidden="1">
      <c r="A235" s="2"/>
      <c r="B235" s="2"/>
      <c r="C235" s="1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hidden="1">
      <c r="A236" s="2"/>
      <c r="B236" s="2"/>
      <c r="C236" s="1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hidden="1">
      <c r="A237" s="2"/>
      <c r="B237" s="2"/>
      <c r="C237" s="1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hidden="1">
      <c r="A238" s="2"/>
      <c r="B238" s="2"/>
      <c r="C238" s="1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hidden="1">
      <c r="A239" s="2"/>
      <c r="B239" s="2"/>
      <c r="C239" s="1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hidden="1">
      <c r="A240" s="2"/>
      <c r="B240" s="2"/>
      <c r="C240" s="1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hidden="1">
      <c r="A241" s="2"/>
      <c r="B241" s="2"/>
      <c r="C241" s="1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hidden="1">
      <c r="A242" s="2"/>
      <c r="B242" s="2"/>
      <c r="C242" s="1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hidden="1">
      <c r="A243" s="2"/>
      <c r="B243" s="2"/>
      <c r="C243" s="1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hidden="1">
      <c r="A244" s="2"/>
      <c r="B244" s="2"/>
      <c r="C244" s="1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hidden="1">
      <c r="A245" s="2"/>
      <c r="B245" s="2"/>
      <c r="C245" s="1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hidden="1">
      <c r="A246" s="2"/>
      <c r="B246" s="2"/>
      <c r="C246" s="1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hidden="1">
      <c r="A247" s="2"/>
      <c r="B247" s="2"/>
      <c r="C247" s="1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hidden="1">
      <c r="A248" s="2"/>
      <c r="B248" s="2"/>
      <c r="C248" s="1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hidden="1">
      <c r="A249" s="2"/>
      <c r="B249" s="2"/>
      <c r="C249" s="1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hidden="1">
      <c r="A250" s="2"/>
      <c r="B250" s="2"/>
      <c r="C250" s="1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hidden="1">
      <c r="A251" s="2"/>
      <c r="B251" s="2"/>
      <c r="C251" s="1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hidden="1">
      <c r="A252" s="2"/>
      <c r="B252" s="2"/>
      <c r="C252" s="1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hidden="1">
      <c r="A253" s="2"/>
      <c r="B253" s="2"/>
      <c r="C253" s="1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hidden="1">
      <c r="A254" s="2"/>
      <c r="B254" s="2"/>
      <c r="C254" s="1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hidden="1">
      <c r="A255" s="2"/>
      <c r="B255" s="2"/>
      <c r="C255" s="1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hidden="1">
      <c r="A256" s="2"/>
      <c r="B256" s="2"/>
      <c r="C256" s="1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hidden="1">
      <c r="A257" s="2"/>
      <c r="B257" s="2"/>
      <c r="C257" s="1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hidden="1">
      <c r="A258" s="2"/>
      <c r="B258" s="2"/>
      <c r="C258" s="1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hidden="1">
      <c r="A259" s="2"/>
      <c r="B259" s="2"/>
      <c r="C259" s="1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hidden="1">
      <c r="A260" s="2"/>
      <c r="B260" s="2"/>
      <c r="C260" s="1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hidden="1">
      <c r="A261" s="2"/>
      <c r="B261" s="2"/>
      <c r="C261" s="1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hidden="1">
      <c r="A262" s="2"/>
      <c r="B262" s="2"/>
      <c r="C262" s="1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hidden="1">
      <c r="A263" s="2"/>
      <c r="B263" s="2"/>
      <c r="C263" s="1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hidden="1">
      <c r="A264" s="2"/>
      <c r="B264" s="2"/>
      <c r="C264" s="1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hidden="1">
      <c r="A265" s="2"/>
      <c r="B265" s="2"/>
      <c r="C265" s="1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hidden="1">
      <c r="A266" s="2"/>
      <c r="B266" s="2"/>
      <c r="C266" s="1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hidden="1">
      <c r="A267" s="2"/>
      <c r="B267" s="2"/>
      <c r="C267" s="1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hidden="1">
      <c r="A268" s="2"/>
      <c r="B268" s="2"/>
      <c r="C268" s="1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hidden="1">
      <c r="A269" s="2"/>
      <c r="B269" s="2"/>
      <c r="C269" s="1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hidden="1">
      <c r="A270" s="2"/>
      <c r="B270" s="2"/>
      <c r="C270" s="1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hidden="1">
      <c r="A271" s="2"/>
      <c r="B271" s="2"/>
      <c r="C271" s="1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hidden="1">
      <c r="A272" s="2"/>
      <c r="B272" s="2"/>
      <c r="C272" s="1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hidden="1">
      <c r="A273" s="2"/>
      <c r="B273" s="2"/>
      <c r="C273" s="1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hidden="1">
      <c r="A274" s="2"/>
      <c r="B274" s="2"/>
      <c r="C274" s="1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hidden="1">
      <c r="A275" s="2"/>
      <c r="B275" s="2"/>
      <c r="C275" s="1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hidden="1">
      <c r="A276" s="2"/>
      <c r="B276" s="2"/>
      <c r="C276" s="1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hidden="1">
      <c r="A277" s="2"/>
      <c r="B277" s="2"/>
      <c r="C277" s="1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hidden="1">
      <c r="A278" s="2"/>
      <c r="B278" s="2"/>
      <c r="C278" s="1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hidden="1">
      <c r="A279" s="2"/>
      <c r="B279" s="2"/>
      <c r="C279" s="1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hidden="1">
      <c r="A280" s="2"/>
      <c r="B280" s="2"/>
      <c r="C280" s="1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hidden="1">
      <c r="A281" s="2"/>
      <c r="B281" s="2"/>
      <c r="C281" s="1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hidden="1">
      <c r="A282" s="2"/>
      <c r="B282" s="2"/>
      <c r="C282" s="1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hidden="1">
      <c r="A283" s="2"/>
      <c r="B283" s="2"/>
      <c r="C283" s="1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hidden="1">
      <c r="A284" s="2"/>
      <c r="B284" s="2"/>
      <c r="C284" s="1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hidden="1">
      <c r="A285" s="2"/>
      <c r="B285" s="2"/>
      <c r="C285" s="1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hidden="1">
      <c r="A286" s="2"/>
      <c r="B286" s="2"/>
      <c r="C286" s="1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hidden="1">
      <c r="A287" s="2"/>
      <c r="B287" s="2"/>
      <c r="C287" s="1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hidden="1">
      <c r="A288" s="2"/>
      <c r="B288" s="2"/>
      <c r="C288" s="1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hidden="1">
      <c r="A289" s="2"/>
      <c r="B289" s="2"/>
      <c r="C289" s="1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hidden="1">
      <c r="A290" s="2"/>
      <c r="B290" s="2"/>
      <c r="C290" s="1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hidden="1">
      <c r="A291" s="2"/>
      <c r="B291" s="2"/>
      <c r="C291" s="1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hidden="1">
      <c r="A292" s="2"/>
      <c r="B292" s="2"/>
      <c r="C292" s="1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hidden="1">
      <c r="A293" s="2"/>
      <c r="B293" s="2"/>
      <c r="C293" s="1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hidden="1">
      <c r="A294" s="2"/>
      <c r="B294" s="2"/>
      <c r="C294" s="1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hidden="1">
      <c r="A295" s="2"/>
      <c r="B295" s="2"/>
      <c r="C295" s="1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hidden="1">
      <c r="A296" s="2"/>
      <c r="B296" s="2"/>
      <c r="C296" s="1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hidden="1">
      <c r="A297" s="2"/>
      <c r="B297" s="2"/>
      <c r="C297" s="1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hidden="1">
      <c r="A298" s="2"/>
      <c r="B298" s="2"/>
      <c r="C298" s="1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hidden="1">
      <c r="A299" s="2"/>
      <c r="B299" s="2"/>
      <c r="C299" s="1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hidden="1">
      <c r="A300" s="2"/>
      <c r="B300" s="2"/>
      <c r="C300" s="1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hidden="1">
      <c r="A301" s="2"/>
      <c r="B301" s="2"/>
      <c r="C301" s="1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hidden="1">
      <c r="A302" s="2"/>
      <c r="B302" s="2"/>
      <c r="C302" s="1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hidden="1">
      <c r="A303" s="2"/>
      <c r="B303" s="2"/>
      <c r="C303" s="1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hidden="1">
      <c r="A304" s="2"/>
      <c r="B304" s="2"/>
      <c r="C304" s="1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hidden="1">
      <c r="A305" s="2"/>
      <c r="B305" s="2"/>
      <c r="C305" s="1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hidden="1">
      <c r="A306" s="2"/>
      <c r="B306" s="2"/>
      <c r="C306" s="1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hidden="1">
      <c r="A307" s="2"/>
      <c r="B307" s="2"/>
      <c r="C307" s="1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hidden="1">
      <c r="A308" s="2"/>
      <c r="B308" s="2"/>
      <c r="C308" s="1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hidden="1">
      <c r="A309" s="2"/>
      <c r="B309" s="2"/>
      <c r="C309" s="1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hidden="1">
      <c r="A310" s="2"/>
      <c r="B310" s="2"/>
      <c r="C310" s="1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hidden="1">
      <c r="A311" s="2"/>
      <c r="B311" s="2"/>
      <c r="C311" s="1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hidden="1">
      <c r="A312" s="2"/>
      <c r="B312" s="2"/>
      <c r="C312" s="1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hidden="1">
      <c r="A313" s="2"/>
      <c r="B313" s="2"/>
      <c r="C313" s="1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hidden="1">
      <c r="A314" s="2"/>
      <c r="B314" s="2"/>
      <c r="C314" s="1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hidden="1">
      <c r="A315" s="2"/>
      <c r="B315" s="2"/>
      <c r="C315" s="1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hidden="1">
      <c r="A316" s="2"/>
      <c r="B316" s="2"/>
      <c r="C316" s="1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hidden="1">
      <c r="A317" s="2"/>
      <c r="B317" s="2"/>
      <c r="C317" s="1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hidden="1">
      <c r="A318" s="2"/>
      <c r="B318" s="2"/>
      <c r="C318" s="1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hidden="1">
      <c r="A319" s="2"/>
      <c r="B319" s="2"/>
      <c r="C319" s="1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hidden="1">
      <c r="A320" s="2"/>
      <c r="B320" s="2"/>
      <c r="C320" s="1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hidden="1">
      <c r="A321" s="2"/>
      <c r="B321" s="2"/>
      <c r="C321" s="1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hidden="1">
      <c r="A322" s="2"/>
      <c r="B322" s="2"/>
      <c r="C322" s="1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hidden="1">
      <c r="A323" s="2"/>
      <c r="B323" s="2"/>
      <c r="C323" s="1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hidden="1">
      <c r="A324" s="2"/>
      <c r="B324" s="2"/>
      <c r="C324" s="1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hidden="1">
      <c r="A325" s="2"/>
      <c r="B325" s="2"/>
      <c r="C325" s="1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hidden="1">
      <c r="A326" s="2"/>
      <c r="B326" s="2"/>
      <c r="C326" s="1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hidden="1">
      <c r="A327" s="2"/>
      <c r="B327" s="2"/>
      <c r="C327" s="1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hidden="1">
      <c r="A328" s="2"/>
      <c r="B328" s="2"/>
      <c r="C328" s="1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hidden="1">
      <c r="A329" s="2"/>
      <c r="B329" s="2"/>
      <c r="C329" s="1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hidden="1">
      <c r="A330" s="2"/>
      <c r="B330" s="2"/>
      <c r="C330" s="1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hidden="1">
      <c r="A331" s="2"/>
      <c r="B331" s="2"/>
      <c r="C331" s="1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hidden="1">
      <c r="A332" s="2"/>
      <c r="B332" s="2"/>
      <c r="C332" s="1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hidden="1">
      <c r="A333" s="2"/>
      <c r="B333" s="2"/>
      <c r="C333" s="1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hidden="1">
      <c r="A334" s="2"/>
      <c r="B334" s="2"/>
      <c r="C334" s="1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hidden="1">
      <c r="A335" s="2"/>
      <c r="B335" s="2"/>
      <c r="C335" s="1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hidden="1">
      <c r="A336" s="2"/>
      <c r="B336" s="2"/>
      <c r="C336" s="1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hidden="1">
      <c r="A337" s="2"/>
      <c r="B337" s="2"/>
      <c r="C337" s="1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hidden="1">
      <c r="A338" s="2"/>
      <c r="B338" s="2"/>
      <c r="C338" s="1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hidden="1">
      <c r="A339" s="2"/>
      <c r="B339" s="2"/>
      <c r="C339" s="1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hidden="1">
      <c r="A340" s="2"/>
      <c r="B340" s="2"/>
      <c r="C340" s="1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hidden="1">
      <c r="A341" s="2"/>
      <c r="B341" s="2"/>
      <c r="C341" s="1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hidden="1">
      <c r="A342" s="2"/>
      <c r="B342" s="2"/>
      <c r="C342" s="1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hidden="1">
      <c r="A343" s="2"/>
      <c r="B343" s="2"/>
      <c r="C343" s="1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hidden="1">
      <c r="A344" s="2"/>
      <c r="B344" s="2"/>
      <c r="C344" s="1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hidden="1">
      <c r="A345" s="2"/>
      <c r="B345" s="2"/>
      <c r="C345" s="1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hidden="1">
      <c r="A346" s="2"/>
      <c r="B346" s="2"/>
      <c r="C346" s="1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hidden="1">
      <c r="A347" s="2"/>
      <c r="B347" s="2"/>
      <c r="C347" s="1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hidden="1">
      <c r="A348" s="2"/>
      <c r="B348" s="2"/>
      <c r="C348" s="1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hidden="1">
      <c r="A349" s="2"/>
      <c r="B349" s="2"/>
      <c r="C349" s="1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hidden="1">
      <c r="A350" s="2"/>
      <c r="B350" s="2"/>
      <c r="C350" s="1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hidden="1">
      <c r="A351" s="2"/>
      <c r="B351" s="2"/>
      <c r="C351" s="1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hidden="1">
      <c r="A352" s="2"/>
      <c r="B352" s="2"/>
      <c r="C352" s="1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hidden="1">
      <c r="A353" s="2"/>
      <c r="B353" s="2"/>
      <c r="C353" s="1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hidden="1">
      <c r="A354" s="2"/>
      <c r="B354" s="2"/>
      <c r="C354" s="1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hidden="1">
      <c r="A355" s="2"/>
      <c r="B355" s="2"/>
      <c r="C355" s="1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hidden="1">
      <c r="A356" s="2"/>
      <c r="B356" s="2"/>
      <c r="C356" s="1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hidden="1">
      <c r="A357" s="2"/>
      <c r="B357" s="2"/>
      <c r="C357" s="1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hidden="1">
      <c r="A358" s="2"/>
      <c r="B358" s="2"/>
      <c r="C358" s="1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hidden="1">
      <c r="A359" s="2"/>
      <c r="B359" s="2"/>
      <c r="C359" s="1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hidden="1">
      <c r="A360" s="2"/>
      <c r="B360" s="2"/>
      <c r="C360" s="1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hidden="1">
      <c r="A361" s="2"/>
      <c r="B361" s="2"/>
      <c r="C361" s="1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hidden="1">
      <c r="A362" s="2"/>
      <c r="B362" s="2"/>
      <c r="C362" s="1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hidden="1">
      <c r="A363" s="2"/>
      <c r="B363" s="2"/>
      <c r="C363" s="1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hidden="1">
      <c r="A364" s="2"/>
      <c r="B364" s="2"/>
      <c r="C364" s="1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hidden="1">
      <c r="A365" s="2"/>
      <c r="B365" s="2"/>
      <c r="C365" s="1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hidden="1">
      <c r="A366" s="2"/>
      <c r="B366" s="2"/>
      <c r="C366" s="1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hidden="1">
      <c r="A367" s="2"/>
      <c r="B367" s="2"/>
      <c r="C367" s="1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hidden="1">
      <c r="A368" s="2"/>
      <c r="B368" s="2"/>
      <c r="C368" s="1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hidden="1">
      <c r="A369" s="2"/>
      <c r="B369" s="2"/>
      <c r="C369" s="1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hidden="1">
      <c r="A370" s="2"/>
      <c r="B370" s="2"/>
      <c r="C370" s="1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hidden="1">
      <c r="A371" s="2"/>
      <c r="B371" s="2"/>
      <c r="C371" s="1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hidden="1">
      <c r="A372" s="2"/>
      <c r="B372" s="2"/>
      <c r="C372" s="1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hidden="1">
      <c r="A373" s="2"/>
      <c r="B373" s="2"/>
      <c r="C373" s="1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hidden="1">
      <c r="A374" s="2"/>
      <c r="B374" s="2"/>
      <c r="C374" s="1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hidden="1">
      <c r="A375" s="2"/>
      <c r="B375" s="2"/>
      <c r="C375" s="1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hidden="1">
      <c r="A376" s="2"/>
      <c r="B376" s="2"/>
      <c r="C376" s="1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hidden="1">
      <c r="A377" s="2"/>
      <c r="B377" s="2"/>
      <c r="C377" s="1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hidden="1">
      <c r="A378" s="2"/>
      <c r="B378" s="2"/>
      <c r="C378" s="1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hidden="1">
      <c r="A379" s="2"/>
      <c r="B379" s="2"/>
      <c r="C379" s="1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hidden="1">
      <c r="A380" s="2"/>
      <c r="B380" s="2"/>
      <c r="C380" s="1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hidden="1">
      <c r="A381" s="2"/>
      <c r="B381" s="2"/>
      <c r="C381" s="1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hidden="1">
      <c r="A382" s="2"/>
      <c r="B382" s="2"/>
      <c r="C382" s="1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hidden="1">
      <c r="A383" s="2"/>
      <c r="B383" s="2"/>
      <c r="C383" s="1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hidden="1">
      <c r="A384" s="2"/>
      <c r="B384" s="2"/>
      <c r="C384" s="1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hidden="1">
      <c r="A385" s="2"/>
      <c r="B385" s="2"/>
      <c r="C385" s="1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hidden="1">
      <c r="A386" s="2"/>
      <c r="B386" s="2"/>
      <c r="C386" s="1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hidden="1">
      <c r="A387" s="2"/>
      <c r="B387" s="2"/>
      <c r="C387" s="1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hidden="1">
      <c r="A388" s="2"/>
      <c r="B388" s="2"/>
      <c r="C388" s="1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hidden="1">
      <c r="A389" s="2"/>
      <c r="B389" s="2"/>
      <c r="C389" s="1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hidden="1">
      <c r="A390" s="2"/>
      <c r="B390" s="2"/>
      <c r="C390" s="1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hidden="1">
      <c r="A391" s="2"/>
      <c r="B391" s="2"/>
      <c r="C391" s="1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hidden="1">
      <c r="A392" s="2"/>
      <c r="B392" s="2"/>
      <c r="C392" s="1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hidden="1">
      <c r="A393" s="2"/>
      <c r="B393" s="2"/>
      <c r="C393" s="1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hidden="1">
      <c r="A394" s="2"/>
      <c r="B394" s="2"/>
      <c r="C394" s="1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hidden="1">
      <c r="A395" s="2"/>
      <c r="B395" s="2"/>
      <c r="C395" s="1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hidden="1">
      <c r="A396" s="2"/>
      <c r="B396" s="2"/>
      <c r="C396" s="1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hidden="1">
      <c r="A397" s="2"/>
      <c r="B397" s="2"/>
      <c r="C397" s="1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hidden="1">
      <c r="A398" s="2"/>
      <c r="B398" s="2"/>
      <c r="C398" s="1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hidden="1">
      <c r="A399" s="2"/>
      <c r="B399" s="2"/>
      <c r="C399" s="1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hidden="1">
      <c r="A400" s="2"/>
      <c r="B400" s="2"/>
      <c r="C400" s="1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hidden="1">
      <c r="A401" s="2"/>
      <c r="B401" s="2"/>
      <c r="C401" s="1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hidden="1">
      <c r="A402" s="2"/>
      <c r="B402" s="2"/>
      <c r="C402" s="1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hidden="1">
      <c r="A403" s="2"/>
      <c r="B403" s="2"/>
      <c r="C403" s="1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hidden="1">
      <c r="A404" s="2"/>
      <c r="B404" s="2"/>
      <c r="C404" s="1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hidden="1">
      <c r="A405" s="2"/>
      <c r="B405" s="2"/>
      <c r="C405" s="1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hidden="1">
      <c r="A406" s="2"/>
      <c r="B406" s="2"/>
      <c r="C406" s="1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hidden="1">
      <c r="A407" s="2"/>
      <c r="B407" s="2"/>
      <c r="C407" s="1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hidden="1">
      <c r="A408" s="2"/>
      <c r="B408" s="2"/>
      <c r="C408" s="1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hidden="1">
      <c r="A409" s="2"/>
      <c r="B409" s="2"/>
      <c r="C409" s="1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hidden="1">
      <c r="A410" s="2"/>
      <c r="B410" s="2"/>
      <c r="C410" s="1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hidden="1">
      <c r="A411" s="2"/>
      <c r="B411" s="2"/>
      <c r="C411" s="1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hidden="1">
      <c r="A412" s="2"/>
      <c r="B412" s="2"/>
      <c r="C412" s="1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hidden="1">
      <c r="A413" s="2"/>
      <c r="B413" s="2"/>
      <c r="C413" s="1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hidden="1">
      <c r="A414" s="2"/>
      <c r="B414" s="2"/>
      <c r="C414" s="1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hidden="1">
      <c r="A415" s="2"/>
      <c r="B415" s="2"/>
      <c r="C415" s="1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hidden="1">
      <c r="A416" s="2"/>
      <c r="B416" s="2"/>
      <c r="C416" s="1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hidden="1">
      <c r="A417" s="2"/>
      <c r="B417" s="2"/>
      <c r="C417" s="1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hidden="1">
      <c r="A418" s="2"/>
      <c r="B418" s="2"/>
      <c r="C418" s="1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hidden="1">
      <c r="A419" s="2"/>
      <c r="B419" s="2"/>
      <c r="C419" s="1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hidden="1">
      <c r="A420" s="2"/>
      <c r="B420" s="2"/>
      <c r="C420" s="1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hidden="1">
      <c r="A421" s="2"/>
      <c r="B421" s="2"/>
      <c r="C421" s="1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hidden="1">
      <c r="A422" s="2"/>
      <c r="B422" s="2"/>
      <c r="C422" s="1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hidden="1">
      <c r="A423" s="2"/>
      <c r="B423" s="2"/>
      <c r="C423" s="1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hidden="1">
      <c r="A424" s="2"/>
      <c r="B424" s="2"/>
      <c r="C424" s="1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hidden="1">
      <c r="A425" s="2"/>
      <c r="B425" s="2"/>
      <c r="C425" s="1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hidden="1">
      <c r="A426" s="2"/>
      <c r="B426" s="2"/>
      <c r="C426" s="1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hidden="1">
      <c r="A427" s="2"/>
      <c r="B427" s="2"/>
      <c r="C427" s="1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hidden="1">
      <c r="A428" s="2"/>
      <c r="B428" s="2"/>
      <c r="C428" s="1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hidden="1">
      <c r="A429" s="2"/>
      <c r="B429" s="2"/>
      <c r="C429" s="1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hidden="1">
      <c r="A430" s="2"/>
      <c r="B430" s="2"/>
      <c r="C430" s="1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hidden="1">
      <c r="A431" s="2"/>
      <c r="B431" s="2"/>
      <c r="C431" s="1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hidden="1">
      <c r="A432" s="2"/>
      <c r="B432" s="2"/>
      <c r="C432" s="1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hidden="1">
      <c r="A433" s="2"/>
      <c r="B433" s="2"/>
      <c r="C433" s="1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hidden="1">
      <c r="A434" s="2"/>
      <c r="B434" s="2"/>
      <c r="C434" s="1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hidden="1">
      <c r="A435" s="2"/>
      <c r="B435" s="2"/>
      <c r="C435" s="1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hidden="1">
      <c r="A436" s="2"/>
      <c r="B436" s="2"/>
      <c r="C436" s="1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hidden="1">
      <c r="A437" s="2"/>
      <c r="B437" s="2"/>
      <c r="C437" s="1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hidden="1">
      <c r="A438" s="2"/>
      <c r="B438" s="2"/>
      <c r="C438" s="1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hidden="1">
      <c r="A439" s="2"/>
      <c r="B439" s="2"/>
      <c r="C439" s="1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hidden="1">
      <c r="A440" s="2"/>
      <c r="B440" s="2"/>
      <c r="C440" s="1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hidden="1">
      <c r="A441" s="2"/>
      <c r="B441" s="2"/>
      <c r="C441" s="1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hidden="1">
      <c r="A442" s="2"/>
      <c r="B442" s="2"/>
      <c r="C442" s="1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hidden="1">
      <c r="A443" s="2"/>
      <c r="B443" s="2"/>
      <c r="C443" s="1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hidden="1">
      <c r="A444" s="2"/>
      <c r="B444" s="2"/>
      <c r="C444" s="1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hidden="1">
      <c r="A445" s="2"/>
      <c r="B445" s="2"/>
      <c r="C445" s="1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hidden="1">
      <c r="A446" s="2"/>
      <c r="B446" s="2"/>
      <c r="C446" s="1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hidden="1">
      <c r="A447" s="2"/>
      <c r="B447" s="2"/>
      <c r="C447" s="1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hidden="1">
      <c r="A448" s="2"/>
      <c r="B448" s="2"/>
      <c r="C448" s="1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hidden="1">
      <c r="A449" s="2"/>
      <c r="B449" s="2"/>
      <c r="C449" s="1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hidden="1">
      <c r="A450" s="2"/>
      <c r="B450" s="2"/>
      <c r="C450" s="1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hidden="1">
      <c r="A451" s="2"/>
      <c r="B451" s="2"/>
      <c r="C451" s="1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hidden="1">
      <c r="A452" s="2"/>
      <c r="B452" s="2"/>
      <c r="C452" s="1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hidden="1">
      <c r="A453" s="2"/>
      <c r="B453" s="2"/>
      <c r="C453" s="1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hidden="1">
      <c r="A454" s="2"/>
      <c r="B454" s="2"/>
      <c r="C454" s="1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hidden="1">
      <c r="A455" s="2"/>
      <c r="B455" s="2"/>
      <c r="C455" s="1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hidden="1">
      <c r="A456" s="2"/>
      <c r="B456" s="2"/>
      <c r="C456" s="1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hidden="1">
      <c r="A457" s="2"/>
      <c r="B457" s="2"/>
      <c r="C457" s="1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hidden="1">
      <c r="A458" s="2"/>
      <c r="B458" s="2"/>
      <c r="C458" s="1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hidden="1">
      <c r="A459" s="2"/>
      <c r="B459" s="2"/>
      <c r="C459" s="1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hidden="1">
      <c r="A460" s="2"/>
      <c r="B460" s="2"/>
      <c r="C460" s="1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hidden="1">
      <c r="A461" s="2"/>
      <c r="B461" s="2"/>
      <c r="C461" s="1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hidden="1">
      <c r="A462" s="2"/>
      <c r="B462" s="2"/>
      <c r="C462" s="1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hidden="1">
      <c r="A463" s="2"/>
      <c r="B463" s="2"/>
      <c r="C463" s="1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hidden="1">
      <c r="A464" s="2"/>
      <c r="B464" s="2"/>
      <c r="C464" s="1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hidden="1">
      <c r="A465" s="2"/>
      <c r="B465" s="2"/>
      <c r="C465" s="1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hidden="1">
      <c r="A466" s="2"/>
      <c r="B466" s="2"/>
      <c r="C466" s="1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hidden="1">
      <c r="A467" s="2"/>
      <c r="B467" s="2"/>
      <c r="C467" s="1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hidden="1">
      <c r="A468" s="2"/>
      <c r="B468" s="2"/>
      <c r="C468" s="1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hidden="1">
      <c r="A469" s="2"/>
      <c r="B469" s="2"/>
      <c r="C469" s="1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hidden="1">
      <c r="A470" s="2"/>
      <c r="B470" s="2"/>
      <c r="C470" s="1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hidden="1">
      <c r="A471" s="2"/>
      <c r="B471" s="2"/>
      <c r="C471" s="1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hidden="1">
      <c r="A472" s="2"/>
      <c r="B472" s="2"/>
      <c r="C472" s="1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hidden="1">
      <c r="A473" s="2"/>
      <c r="B473" s="2"/>
      <c r="C473" s="1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hidden="1">
      <c r="A474" s="2"/>
      <c r="B474" s="2"/>
      <c r="C474" s="1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hidden="1">
      <c r="A475" s="2"/>
      <c r="B475" s="2"/>
      <c r="C475" s="1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hidden="1">
      <c r="A476" s="2"/>
      <c r="B476" s="2"/>
      <c r="C476" s="1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hidden="1">
      <c r="A477" s="2"/>
      <c r="B477" s="2"/>
      <c r="C477" s="1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hidden="1">
      <c r="A478" s="2"/>
      <c r="B478" s="2"/>
      <c r="C478" s="1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hidden="1">
      <c r="A479" s="2"/>
      <c r="B479" s="2"/>
      <c r="C479" s="1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hidden="1">
      <c r="A480" s="2"/>
      <c r="B480" s="2"/>
      <c r="C480" s="1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hidden="1">
      <c r="A481" s="2"/>
      <c r="B481" s="2"/>
      <c r="C481" s="1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hidden="1">
      <c r="A482" s="2"/>
      <c r="B482" s="2"/>
      <c r="C482" s="1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hidden="1">
      <c r="A483" s="2"/>
      <c r="B483" s="2"/>
      <c r="C483" s="1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hidden="1">
      <c r="A484" s="2"/>
      <c r="B484" s="2"/>
      <c r="C484" s="1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hidden="1">
      <c r="A485" s="2"/>
      <c r="B485" s="2"/>
      <c r="C485" s="1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hidden="1">
      <c r="A486" s="2"/>
      <c r="B486" s="2"/>
      <c r="C486" s="1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hidden="1">
      <c r="A487" s="2"/>
      <c r="B487" s="2"/>
      <c r="C487" s="1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hidden="1">
      <c r="A488" s="2"/>
      <c r="B488" s="2"/>
      <c r="C488" s="1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hidden="1">
      <c r="A489" s="2"/>
      <c r="B489" s="2"/>
      <c r="C489" s="1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hidden="1">
      <c r="A490" s="2"/>
      <c r="B490" s="2"/>
      <c r="C490" s="1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hidden="1">
      <c r="A491" s="2"/>
      <c r="B491" s="2"/>
      <c r="C491" s="1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hidden="1">
      <c r="A492" s="2"/>
      <c r="B492" s="2"/>
      <c r="C492" s="1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hidden="1">
      <c r="A493" s="2"/>
      <c r="B493" s="2"/>
      <c r="C493" s="1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hidden="1">
      <c r="A494" s="2"/>
      <c r="B494" s="2"/>
      <c r="C494" s="1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hidden="1">
      <c r="A495" s="2"/>
      <c r="B495" s="2"/>
      <c r="C495" s="1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hidden="1">
      <c r="A496" s="2"/>
      <c r="B496" s="2"/>
      <c r="C496" s="1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hidden="1">
      <c r="A497" s="2"/>
      <c r="B497" s="2"/>
      <c r="C497" s="1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hidden="1">
      <c r="A498" s="2"/>
      <c r="B498" s="2"/>
      <c r="C498" s="1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hidden="1">
      <c r="A499" s="2"/>
      <c r="B499" s="2"/>
      <c r="C499" s="1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hidden="1">
      <c r="A500" s="2"/>
      <c r="B500" s="2"/>
      <c r="C500" s="1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hidden="1">
      <c r="A501" s="2"/>
      <c r="B501" s="2"/>
      <c r="C501" s="1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hidden="1">
      <c r="A502" s="2"/>
      <c r="B502" s="2"/>
      <c r="C502" s="1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hidden="1">
      <c r="A503" s="2"/>
      <c r="B503" s="2"/>
      <c r="C503" s="1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hidden="1">
      <c r="A504" s="2"/>
      <c r="B504" s="2"/>
      <c r="C504" s="1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hidden="1">
      <c r="A505" s="2"/>
      <c r="B505" s="2"/>
      <c r="C505" s="1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hidden="1">
      <c r="A506" s="2"/>
      <c r="B506" s="2"/>
      <c r="C506" s="1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hidden="1">
      <c r="A507" s="2"/>
      <c r="B507" s="2"/>
      <c r="C507" s="1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hidden="1">
      <c r="A508" s="2"/>
      <c r="B508" s="2"/>
      <c r="C508" s="1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hidden="1">
      <c r="A509" s="2"/>
      <c r="B509" s="2"/>
      <c r="C509" s="1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hidden="1">
      <c r="A510" s="2"/>
      <c r="B510" s="2"/>
      <c r="C510" s="1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hidden="1">
      <c r="A511" s="2"/>
      <c r="B511" s="2"/>
      <c r="C511" s="1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hidden="1">
      <c r="A512" s="2"/>
      <c r="B512" s="2"/>
      <c r="C512" s="1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hidden="1">
      <c r="A513" s="2"/>
      <c r="B513" s="2"/>
      <c r="C513" s="1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hidden="1">
      <c r="A514" s="2"/>
      <c r="B514" s="2"/>
      <c r="C514" s="1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hidden="1">
      <c r="A515" s="2"/>
      <c r="B515" s="2"/>
      <c r="C515" s="1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hidden="1">
      <c r="A516" s="2"/>
      <c r="B516" s="2"/>
      <c r="C516" s="1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hidden="1">
      <c r="A517" s="2"/>
      <c r="B517" s="2"/>
      <c r="C517" s="1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hidden="1">
      <c r="A518" s="2"/>
      <c r="B518" s="2"/>
      <c r="C518" s="1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hidden="1">
      <c r="A519" s="2"/>
      <c r="B519" s="2"/>
      <c r="C519" s="1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hidden="1">
      <c r="A520" s="2"/>
      <c r="B520" s="2"/>
      <c r="C520" s="1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hidden="1">
      <c r="A521" s="2"/>
      <c r="B521" s="2"/>
      <c r="C521" s="1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hidden="1">
      <c r="A522" s="2"/>
      <c r="B522" s="2"/>
      <c r="C522" s="1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hidden="1">
      <c r="A523" s="2"/>
      <c r="B523" s="2"/>
      <c r="C523" s="1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hidden="1">
      <c r="A524" s="2"/>
      <c r="B524" s="2"/>
      <c r="C524" s="1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hidden="1">
      <c r="A525" s="2"/>
      <c r="B525" s="2"/>
      <c r="C525" s="1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hidden="1">
      <c r="A526" s="2"/>
      <c r="B526" s="2"/>
      <c r="C526" s="1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hidden="1">
      <c r="A527" s="2"/>
      <c r="B527" s="2"/>
      <c r="C527" s="1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hidden="1">
      <c r="A528" s="2"/>
      <c r="B528" s="2"/>
      <c r="C528" s="1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hidden="1">
      <c r="A529" s="2"/>
      <c r="B529" s="2"/>
      <c r="C529" s="1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hidden="1">
      <c r="A530" s="2"/>
      <c r="B530" s="2"/>
      <c r="C530" s="1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hidden="1">
      <c r="A531" s="2"/>
      <c r="B531" s="2"/>
      <c r="C531" s="1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hidden="1">
      <c r="A532" s="2"/>
      <c r="B532" s="2"/>
      <c r="C532" s="1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hidden="1">
      <c r="A533" s="2"/>
      <c r="B533" s="2"/>
      <c r="C533" s="1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hidden="1">
      <c r="A534" s="2"/>
      <c r="B534" s="2"/>
      <c r="C534" s="1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hidden="1">
      <c r="A535" s="2"/>
      <c r="B535" s="2"/>
      <c r="C535" s="1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hidden="1">
      <c r="A536" s="2"/>
      <c r="B536" s="2"/>
      <c r="C536" s="1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hidden="1">
      <c r="A537" s="2"/>
      <c r="B537" s="2"/>
      <c r="C537" s="1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hidden="1">
      <c r="A538" s="2"/>
      <c r="B538" s="2"/>
      <c r="C538" s="1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hidden="1">
      <c r="A539" s="2"/>
      <c r="B539" s="2"/>
      <c r="C539" s="1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hidden="1">
      <c r="A540" s="2"/>
      <c r="B540" s="2"/>
      <c r="C540" s="1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hidden="1">
      <c r="A541" s="2"/>
      <c r="B541" s="2"/>
      <c r="C541" s="1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hidden="1">
      <c r="A542" s="2"/>
      <c r="B542" s="2"/>
      <c r="C542" s="1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hidden="1">
      <c r="A543" s="2"/>
      <c r="B543" s="2"/>
      <c r="C543" s="1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hidden="1">
      <c r="A544" s="2"/>
      <c r="B544" s="2"/>
      <c r="C544" s="1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hidden="1">
      <c r="A545" s="2"/>
      <c r="B545" s="2"/>
      <c r="C545" s="1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hidden="1">
      <c r="A546" s="2"/>
      <c r="B546" s="2"/>
      <c r="C546" s="1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hidden="1">
      <c r="A547" s="2"/>
      <c r="B547" s="2"/>
      <c r="C547" s="1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hidden="1">
      <c r="A548" s="2"/>
      <c r="B548" s="2"/>
      <c r="C548" s="1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hidden="1">
      <c r="A549" s="2"/>
      <c r="B549" s="2"/>
      <c r="C549" s="1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hidden="1">
      <c r="A550" s="2"/>
      <c r="B550" s="2"/>
      <c r="C550" s="1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hidden="1">
      <c r="A551" s="2"/>
      <c r="B551" s="2"/>
      <c r="C551" s="1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hidden="1">
      <c r="A552" s="2"/>
      <c r="B552" s="2"/>
      <c r="C552" s="1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hidden="1">
      <c r="A553" s="2"/>
      <c r="B553" s="2"/>
      <c r="C553" s="1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hidden="1">
      <c r="A554" s="2"/>
      <c r="B554" s="2"/>
      <c r="C554" s="1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hidden="1">
      <c r="A555" s="2"/>
      <c r="B555" s="2"/>
      <c r="C555" s="1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hidden="1">
      <c r="A556" s="2"/>
      <c r="B556" s="2"/>
      <c r="C556" s="1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hidden="1">
      <c r="A557" s="2"/>
      <c r="B557" s="2"/>
      <c r="C557" s="1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hidden="1">
      <c r="A558" s="2"/>
      <c r="B558" s="2"/>
      <c r="C558" s="1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hidden="1">
      <c r="A559" s="2"/>
      <c r="B559" s="2"/>
      <c r="C559" s="1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hidden="1">
      <c r="A560" s="2"/>
      <c r="B560" s="2"/>
      <c r="C560" s="1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hidden="1">
      <c r="A561" s="2"/>
      <c r="B561" s="2"/>
      <c r="C561" s="1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hidden="1">
      <c r="A562" s="2"/>
      <c r="B562" s="2"/>
      <c r="C562" s="1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hidden="1">
      <c r="A563" s="2"/>
      <c r="B563" s="2"/>
      <c r="C563" s="1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hidden="1">
      <c r="A564" s="2"/>
      <c r="B564" s="2"/>
      <c r="C564" s="1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hidden="1">
      <c r="A565" s="2"/>
      <c r="B565" s="2"/>
      <c r="C565" s="1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hidden="1">
      <c r="A566" s="2"/>
      <c r="B566" s="2"/>
      <c r="C566" s="1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hidden="1">
      <c r="A567" s="2"/>
      <c r="B567" s="2"/>
      <c r="C567" s="1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hidden="1">
      <c r="A568" s="2"/>
      <c r="B568" s="2"/>
      <c r="C568" s="1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hidden="1">
      <c r="A569" s="2"/>
      <c r="B569" s="2"/>
      <c r="C569" s="1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hidden="1">
      <c r="A570" s="2"/>
      <c r="B570" s="2"/>
      <c r="C570" s="1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hidden="1">
      <c r="A571" s="2"/>
      <c r="B571" s="2"/>
      <c r="C571" s="1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hidden="1">
      <c r="A572" s="2"/>
      <c r="B572" s="2"/>
      <c r="C572" s="1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hidden="1">
      <c r="A573" s="2"/>
      <c r="B573" s="2"/>
      <c r="C573" s="1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hidden="1">
      <c r="A574" s="2"/>
      <c r="B574" s="2"/>
      <c r="C574" s="1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hidden="1">
      <c r="A575" s="2"/>
      <c r="B575" s="2"/>
      <c r="C575" s="1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hidden="1">
      <c r="A576" s="2"/>
      <c r="B576" s="2"/>
      <c r="C576" s="1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hidden="1">
      <c r="A577" s="2"/>
      <c r="B577" s="2"/>
      <c r="C577" s="1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hidden="1">
      <c r="A578" s="2"/>
      <c r="B578" s="2"/>
      <c r="C578" s="1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hidden="1">
      <c r="A579" s="2"/>
      <c r="B579" s="2"/>
      <c r="C579" s="1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hidden="1">
      <c r="A580" s="2"/>
      <c r="B580" s="2"/>
      <c r="C580" s="1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hidden="1">
      <c r="A581" s="2"/>
      <c r="B581" s="2"/>
      <c r="C581" s="1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hidden="1">
      <c r="A582" s="2"/>
      <c r="B582" s="2"/>
      <c r="C582" s="1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hidden="1">
      <c r="A583" s="2"/>
      <c r="B583" s="2"/>
      <c r="C583" s="1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hidden="1">
      <c r="A584" s="2"/>
      <c r="B584" s="2"/>
      <c r="C584" s="1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hidden="1">
      <c r="A585" s="2"/>
      <c r="B585" s="2"/>
      <c r="C585" s="1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hidden="1">
      <c r="A586" s="2"/>
      <c r="B586" s="2"/>
      <c r="C586" s="1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hidden="1">
      <c r="A587" s="2"/>
      <c r="B587" s="2"/>
      <c r="C587" s="1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hidden="1">
      <c r="A588" s="2"/>
      <c r="B588" s="2"/>
      <c r="C588" s="1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hidden="1">
      <c r="A589" s="2"/>
      <c r="B589" s="2"/>
      <c r="C589" s="1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hidden="1">
      <c r="A590" s="2"/>
      <c r="B590" s="2"/>
      <c r="C590" s="1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hidden="1">
      <c r="A591" s="2"/>
      <c r="B591" s="2"/>
      <c r="C591" s="1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hidden="1">
      <c r="A592" s="2"/>
      <c r="B592" s="2"/>
      <c r="C592" s="1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hidden="1">
      <c r="A593" s="2"/>
      <c r="B593" s="2"/>
      <c r="C593" s="1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hidden="1">
      <c r="A594" s="2"/>
      <c r="B594" s="2"/>
      <c r="C594" s="1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hidden="1">
      <c r="A595" s="2"/>
      <c r="B595" s="2"/>
      <c r="C595" s="1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hidden="1">
      <c r="A596" s="2"/>
      <c r="B596" s="2"/>
      <c r="C596" s="1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hidden="1">
      <c r="A597" s="2"/>
      <c r="B597" s="2"/>
      <c r="C597" s="1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hidden="1">
      <c r="A598" s="2"/>
      <c r="B598" s="2"/>
      <c r="C598" s="1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hidden="1">
      <c r="A599" s="2"/>
      <c r="B599" s="2"/>
      <c r="C599" s="1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hidden="1">
      <c r="A600" s="2"/>
      <c r="B600" s="2"/>
      <c r="C600" s="1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hidden="1">
      <c r="A601" s="2"/>
      <c r="B601" s="2"/>
      <c r="C601" s="1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hidden="1">
      <c r="A602" s="2"/>
      <c r="B602" s="2"/>
      <c r="C602" s="1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hidden="1">
      <c r="A603" s="2"/>
      <c r="B603" s="2"/>
      <c r="C603" s="1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hidden="1">
      <c r="A604" s="2"/>
      <c r="B604" s="2"/>
      <c r="C604" s="1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hidden="1">
      <c r="A605" s="2"/>
      <c r="B605" s="2"/>
      <c r="C605" s="1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hidden="1">
      <c r="A606" s="2"/>
      <c r="B606" s="2"/>
      <c r="C606" s="1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hidden="1">
      <c r="A607" s="2"/>
      <c r="B607" s="2"/>
      <c r="C607" s="1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hidden="1">
      <c r="A608" s="2"/>
      <c r="B608" s="2"/>
      <c r="C608" s="1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hidden="1">
      <c r="A609" s="2"/>
      <c r="B609" s="2"/>
      <c r="C609" s="1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hidden="1">
      <c r="A610" s="2"/>
      <c r="B610" s="2"/>
      <c r="C610" s="1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hidden="1">
      <c r="A611" s="2"/>
      <c r="B611" s="2"/>
      <c r="C611" s="1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hidden="1">
      <c r="A612" s="2"/>
      <c r="B612" s="2"/>
      <c r="C612" s="1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hidden="1">
      <c r="A613" s="2"/>
      <c r="B613" s="2"/>
      <c r="C613" s="1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hidden="1">
      <c r="A614" s="2"/>
      <c r="B614" s="2"/>
      <c r="C614" s="1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hidden="1">
      <c r="A615" s="2"/>
      <c r="B615" s="2"/>
      <c r="C615" s="1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hidden="1">
      <c r="A616" s="2"/>
      <c r="B616" s="2"/>
      <c r="C616" s="1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hidden="1">
      <c r="A617" s="2"/>
      <c r="B617" s="2"/>
      <c r="C617" s="1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hidden="1">
      <c r="A618" s="2"/>
      <c r="B618" s="2"/>
      <c r="C618" s="1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hidden="1">
      <c r="A619" s="2"/>
      <c r="B619" s="2"/>
      <c r="C619" s="1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hidden="1">
      <c r="A620" s="2"/>
      <c r="B620" s="2"/>
      <c r="C620" s="1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hidden="1">
      <c r="A621" s="2"/>
      <c r="B621" s="2"/>
      <c r="C621" s="1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hidden="1">
      <c r="A622" s="2"/>
      <c r="B622" s="2"/>
      <c r="C622" s="1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hidden="1">
      <c r="A623" s="2"/>
      <c r="B623" s="2"/>
      <c r="C623" s="1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hidden="1">
      <c r="A624" s="2"/>
      <c r="B624" s="2"/>
      <c r="C624" s="1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hidden="1">
      <c r="A625" s="2"/>
      <c r="B625" s="2"/>
      <c r="C625" s="1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hidden="1">
      <c r="A626" s="2"/>
      <c r="B626" s="2"/>
      <c r="C626" s="1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hidden="1">
      <c r="A627" s="2"/>
      <c r="B627" s="2"/>
      <c r="C627" s="1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hidden="1">
      <c r="A628" s="2"/>
      <c r="B628" s="2"/>
      <c r="C628" s="1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hidden="1">
      <c r="A629" s="2"/>
      <c r="B629" s="2"/>
      <c r="C629" s="1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hidden="1">
      <c r="A630" s="2"/>
      <c r="B630" s="2"/>
      <c r="C630" s="1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hidden="1">
      <c r="A631" s="2"/>
      <c r="B631" s="2"/>
      <c r="C631" s="1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hidden="1">
      <c r="A632" s="2"/>
      <c r="B632" s="2"/>
      <c r="C632" s="1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hidden="1">
      <c r="A633" s="2"/>
      <c r="B633" s="2"/>
      <c r="C633" s="1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hidden="1">
      <c r="A634" s="2"/>
      <c r="B634" s="2"/>
      <c r="C634" s="1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hidden="1">
      <c r="A635" s="2"/>
      <c r="B635" s="2"/>
      <c r="C635" s="1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hidden="1">
      <c r="A636" s="2"/>
      <c r="B636" s="2"/>
      <c r="C636" s="1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hidden="1">
      <c r="A637" s="2"/>
      <c r="B637" s="2"/>
      <c r="C637" s="1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hidden="1">
      <c r="A638" s="2"/>
      <c r="B638" s="2"/>
      <c r="C638" s="1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hidden="1">
      <c r="A639" s="2"/>
      <c r="B639" s="2"/>
      <c r="C639" s="1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hidden="1">
      <c r="A640" s="2"/>
      <c r="B640" s="2"/>
      <c r="C640" s="1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hidden="1">
      <c r="A641" s="2"/>
      <c r="B641" s="2"/>
      <c r="C641" s="1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hidden="1">
      <c r="A642" s="2"/>
      <c r="B642" s="2"/>
      <c r="C642" s="1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hidden="1">
      <c r="A643" s="2"/>
      <c r="B643" s="2"/>
      <c r="C643" s="1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hidden="1">
      <c r="A644" s="2"/>
      <c r="B644" s="2"/>
      <c r="C644" s="1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hidden="1">
      <c r="A645" s="2"/>
      <c r="B645" s="2"/>
      <c r="C645" s="1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hidden="1">
      <c r="A646" s="2"/>
      <c r="B646" s="2"/>
      <c r="C646" s="1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hidden="1">
      <c r="A647" s="2"/>
      <c r="B647" s="2"/>
      <c r="C647" s="1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hidden="1">
      <c r="A648" s="2"/>
      <c r="B648" s="2"/>
      <c r="C648" s="1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hidden="1">
      <c r="A649" s="2"/>
      <c r="B649" s="2"/>
      <c r="C649" s="1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hidden="1">
      <c r="A650" s="2"/>
      <c r="B650" s="2"/>
      <c r="C650" s="1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hidden="1">
      <c r="A651" s="2"/>
      <c r="B651" s="2"/>
      <c r="C651" s="1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hidden="1">
      <c r="A652" s="2"/>
      <c r="B652" s="2"/>
      <c r="C652" s="1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hidden="1">
      <c r="A653" s="2"/>
      <c r="B653" s="2"/>
      <c r="C653" s="1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hidden="1">
      <c r="A654" s="2"/>
      <c r="B654" s="2"/>
      <c r="C654" s="1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hidden="1">
      <c r="A655" s="2"/>
      <c r="B655" s="2"/>
      <c r="C655" s="1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hidden="1">
      <c r="A656" s="2"/>
      <c r="B656" s="2"/>
      <c r="C656" s="1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hidden="1">
      <c r="A657" s="2"/>
      <c r="B657" s="2"/>
      <c r="C657" s="1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hidden="1">
      <c r="A658" s="2"/>
      <c r="B658" s="2"/>
      <c r="C658" s="1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hidden="1">
      <c r="A659" s="2"/>
      <c r="B659" s="2"/>
      <c r="C659" s="1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hidden="1">
      <c r="A660" s="2"/>
      <c r="B660" s="2"/>
      <c r="C660" s="1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hidden="1">
      <c r="A661" s="2"/>
      <c r="B661" s="2"/>
      <c r="C661" s="1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hidden="1">
      <c r="A662" s="2"/>
      <c r="B662" s="2"/>
      <c r="C662" s="1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hidden="1">
      <c r="A663" s="2"/>
      <c r="B663" s="2"/>
      <c r="C663" s="1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hidden="1">
      <c r="A664" s="2"/>
      <c r="B664" s="2"/>
      <c r="C664" s="1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hidden="1">
      <c r="A665" s="2"/>
      <c r="B665" s="2"/>
      <c r="C665" s="1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hidden="1">
      <c r="A666" s="2"/>
      <c r="B666" s="2"/>
      <c r="C666" s="1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hidden="1">
      <c r="A667" s="2"/>
      <c r="B667" s="2"/>
      <c r="C667" s="1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hidden="1">
      <c r="A668" s="2"/>
      <c r="B668" s="2"/>
      <c r="C668" s="1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hidden="1">
      <c r="A669" s="2"/>
      <c r="B669" s="2"/>
      <c r="C669" s="1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hidden="1">
      <c r="A670" s="2"/>
      <c r="B670" s="2"/>
      <c r="C670" s="1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hidden="1">
      <c r="A671" s="2"/>
      <c r="B671" s="2"/>
      <c r="C671" s="1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hidden="1">
      <c r="A672" s="2"/>
      <c r="B672" s="2"/>
      <c r="C672" s="1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hidden="1">
      <c r="A673" s="2"/>
      <c r="B673" s="2"/>
      <c r="C673" s="1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hidden="1">
      <c r="A674" s="2"/>
      <c r="B674" s="2"/>
      <c r="C674" s="1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hidden="1">
      <c r="A675" s="2"/>
      <c r="B675" s="2"/>
      <c r="C675" s="1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hidden="1">
      <c r="A676" s="2"/>
      <c r="B676" s="2"/>
      <c r="C676" s="1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hidden="1">
      <c r="A677" s="2"/>
      <c r="B677" s="2"/>
      <c r="C677" s="1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hidden="1">
      <c r="A678" s="2"/>
      <c r="B678" s="2"/>
      <c r="C678" s="1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hidden="1">
      <c r="A679" s="2"/>
      <c r="B679" s="2"/>
      <c r="C679" s="1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hidden="1">
      <c r="A680" s="2"/>
      <c r="B680" s="2"/>
      <c r="C680" s="1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hidden="1">
      <c r="A681" s="2"/>
      <c r="B681" s="2"/>
      <c r="C681" s="1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hidden="1">
      <c r="A682" s="2"/>
      <c r="B682" s="2"/>
      <c r="C682" s="1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hidden="1">
      <c r="A683" s="2"/>
      <c r="B683" s="2"/>
      <c r="C683" s="1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hidden="1">
      <c r="A684" s="2"/>
      <c r="B684" s="2"/>
      <c r="C684" s="1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hidden="1">
      <c r="A685" s="2"/>
      <c r="B685" s="2"/>
      <c r="C685" s="1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hidden="1">
      <c r="A686" s="2"/>
      <c r="B686" s="2"/>
      <c r="C686" s="1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hidden="1">
      <c r="A687" s="2"/>
      <c r="B687" s="2"/>
      <c r="C687" s="1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hidden="1">
      <c r="A688" s="2"/>
      <c r="B688" s="2"/>
      <c r="C688" s="1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hidden="1">
      <c r="A689" s="2"/>
      <c r="B689" s="2"/>
      <c r="C689" s="1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hidden="1">
      <c r="A690" s="2"/>
      <c r="B690" s="2"/>
      <c r="C690" s="1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hidden="1">
      <c r="A691" s="2"/>
      <c r="B691" s="2"/>
      <c r="C691" s="1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hidden="1">
      <c r="A692" s="2"/>
      <c r="B692" s="2"/>
      <c r="C692" s="1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hidden="1">
      <c r="A693" s="2"/>
      <c r="B693" s="2"/>
      <c r="C693" s="1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hidden="1">
      <c r="A694" s="2"/>
      <c r="B694" s="2"/>
      <c r="C694" s="1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hidden="1">
      <c r="A695" s="2"/>
      <c r="B695" s="2"/>
      <c r="C695" s="1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hidden="1">
      <c r="A696" s="2"/>
      <c r="B696" s="2"/>
      <c r="C696" s="1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hidden="1">
      <c r="A697" s="2"/>
      <c r="B697" s="2"/>
      <c r="C697" s="1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hidden="1">
      <c r="A698" s="2"/>
      <c r="B698" s="2"/>
      <c r="C698" s="1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hidden="1">
      <c r="A699" s="2"/>
      <c r="B699" s="2"/>
      <c r="C699" s="1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hidden="1">
      <c r="A700" s="2"/>
      <c r="B700" s="2"/>
      <c r="C700" s="1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hidden="1">
      <c r="A701" s="2"/>
      <c r="B701" s="2"/>
      <c r="C701" s="1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hidden="1">
      <c r="A702" s="2"/>
      <c r="B702" s="2"/>
      <c r="C702" s="1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hidden="1">
      <c r="A703" s="2"/>
      <c r="B703" s="2"/>
      <c r="C703" s="1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hidden="1">
      <c r="A704" s="2"/>
      <c r="B704" s="2"/>
      <c r="C704" s="1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hidden="1">
      <c r="A705" s="2"/>
      <c r="B705" s="2"/>
      <c r="C705" s="1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hidden="1">
      <c r="A706" s="2"/>
      <c r="B706" s="2"/>
      <c r="C706" s="1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hidden="1">
      <c r="A707" s="2"/>
      <c r="B707" s="2"/>
      <c r="C707" s="1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hidden="1">
      <c r="A708" s="2"/>
      <c r="B708" s="2"/>
      <c r="C708" s="1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hidden="1">
      <c r="A709" s="2"/>
      <c r="B709" s="2"/>
      <c r="C709" s="1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hidden="1">
      <c r="A710" s="2"/>
      <c r="B710" s="2"/>
      <c r="C710" s="1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hidden="1">
      <c r="A711" s="2"/>
      <c r="B711" s="2"/>
      <c r="C711" s="1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hidden="1">
      <c r="A712" s="2"/>
      <c r="B712" s="2"/>
      <c r="C712" s="1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hidden="1">
      <c r="A713" s="2"/>
      <c r="B713" s="2"/>
      <c r="C713" s="1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hidden="1">
      <c r="A714" s="2"/>
      <c r="B714" s="2"/>
      <c r="C714" s="1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hidden="1">
      <c r="A715" s="2"/>
      <c r="B715" s="2"/>
      <c r="C715" s="1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hidden="1">
      <c r="A716" s="2"/>
      <c r="B716" s="2"/>
      <c r="C716" s="1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hidden="1">
      <c r="A717" s="2"/>
      <c r="B717" s="2"/>
      <c r="C717" s="1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hidden="1">
      <c r="A718" s="2"/>
      <c r="B718" s="2"/>
      <c r="C718" s="1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hidden="1">
      <c r="A719" s="2"/>
      <c r="B719" s="2"/>
      <c r="C719" s="1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hidden="1">
      <c r="A720" s="2"/>
      <c r="B720" s="2"/>
      <c r="C720" s="1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hidden="1">
      <c r="A721" s="2"/>
      <c r="B721" s="2"/>
      <c r="C721" s="1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hidden="1">
      <c r="A722" s="2"/>
      <c r="B722" s="2"/>
      <c r="C722" s="1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hidden="1">
      <c r="A723" s="2"/>
      <c r="B723" s="2"/>
      <c r="C723" s="1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hidden="1">
      <c r="A724" s="2"/>
      <c r="B724" s="2"/>
      <c r="C724" s="1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hidden="1">
      <c r="A725" s="2"/>
      <c r="B725" s="2"/>
      <c r="C725" s="1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hidden="1">
      <c r="A726" s="2"/>
      <c r="B726" s="2"/>
      <c r="C726" s="1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hidden="1">
      <c r="A727" s="2"/>
      <c r="B727" s="2"/>
      <c r="C727" s="1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hidden="1">
      <c r="A728" s="2"/>
      <c r="B728" s="2"/>
      <c r="C728" s="1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hidden="1">
      <c r="A729" s="2"/>
      <c r="B729" s="2"/>
      <c r="C729" s="1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hidden="1">
      <c r="A730" s="2"/>
      <c r="B730" s="2"/>
      <c r="C730" s="1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hidden="1">
      <c r="A731" s="2"/>
      <c r="B731" s="2"/>
      <c r="C731" s="1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hidden="1">
      <c r="A732" s="2"/>
      <c r="B732" s="2"/>
      <c r="C732" s="1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hidden="1">
      <c r="A733" s="2"/>
      <c r="B733" s="2"/>
      <c r="C733" s="1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hidden="1">
      <c r="A734" s="2"/>
      <c r="B734" s="2"/>
      <c r="C734" s="1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hidden="1">
      <c r="A735" s="2"/>
      <c r="B735" s="2"/>
      <c r="C735" s="1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hidden="1">
      <c r="A736" s="2"/>
      <c r="B736" s="2"/>
      <c r="C736" s="1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hidden="1">
      <c r="A737" s="2"/>
      <c r="B737" s="2"/>
      <c r="C737" s="1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hidden="1">
      <c r="A738" s="2"/>
      <c r="B738" s="2"/>
      <c r="C738" s="1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hidden="1">
      <c r="A739" s="2"/>
      <c r="B739" s="2"/>
      <c r="C739" s="1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hidden="1">
      <c r="A740" s="2"/>
      <c r="B740" s="2"/>
      <c r="C740" s="1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hidden="1">
      <c r="A741" s="2"/>
      <c r="B741" s="2"/>
      <c r="C741" s="1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hidden="1">
      <c r="A742" s="2"/>
      <c r="B742" s="2"/>
      <c r="C742" s="1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hidden="1">
      <c r="A743" s="2"/>
      <c r="B743" s="2"/>
      <c r="C743" s="1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hidden="1">
      <c r="A744" s="2"/>
      <c r="B744" s="2"/>
      <c r="C744" s="1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hidden="1">
      <c r="A745" s="2"/>
      <c r="B745" s="2"/>
      <c r="C745" s="1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hidden="1">
      <c r="A746" s="2"/>
      <c r="B746" s="2"/>
      <c r="C746" s="1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hidden="1">
      <c r="A747" s="2"/>
      <c r="B747" s="2"/>
      <c r="C747" s="1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hidden="1">
      <c r="A748" s="2"/>
      <c r="B748" s="2"/>
      <c r="C748" s="1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hidden="1">
      <c r="A749" s="2"/>
      <c r="B749" s="2"/>
      <c r="C749" s="1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hidden="1">
      <c r="A750" s="2"/>
      <c r="B750" s="2"/>
      <c r="C750" s="1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hidden="1">
      <c r="A751" s="2"/>
      <c r="B751" s="2"/>
      <c r="C751" s="1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hidden="1">
      <c r="A752" s="2"/>
      <c r="B752" s="2"/>
      <c r="C752" s="1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hidden="1">
      <c r="A753" s="2"/>
      <c r="B753" s="2"/>
      <c r="C753" s="1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hidden="1">
      <c r="A754" s="2"/>
      <c r="B754" s="2"/>
      <c r="C754" s="1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hidden="1">
      <c r="A755" s="2"/>
      <c r="B755" s="2"/>
      <c r="C755" s="1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hidden="1">
      <c r="A756" s="2"/>
      <c r="B756" s="2"/>
      <c r="C756" s="1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hidden="1">
      <c r="A757" s="2"/>
      <c r="B757" s="2"/>
      <c r="C757" s="1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hidden="1">
      <c r="A758" s="2"/>
      <c r="B758" s="2"/>
      <c r="C758" s="1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hidden="1">
      <c r="A759" s="2"/>
      <c r="B759" s="2"/>
      <c r="C759" s="1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hidden="1">
      <c r="A760" s="2"/>
      <c r="B760" s="2"/>
      <c r="C760" s="1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hidden="1">
      <c r="A761" s="2"/>
      <c r="B761" s="2"/>
      <c r="C761" s="1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hidden="1">
      <c r="A762" s="2"/>
      <c r="B762" s="2"/>
      <c r="C762" s="1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hidden="1">
      <c r="A763" s="2"/>
      <c r="B763" s="2"/>
      <c r="C763" s="1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hidden="1">
      <c r="A764" s="2"/>
      <c r="B764" s="2"/>
      <c r="C764" s="1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hidden="1">
      <c r="A765" s="2"/>
      <c r="B765" s="2"/>
      <c r="C765" s="1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hidden="1">
      <c r="A766" s="2"/>
      <c r="B766" s="2"/>
      <c r="C766" s="1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hidden="1">
      <c r="A767" s="2"/>
      <c r="B767" s="2"/>
      <c r="C767" s="1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hidden="1">
      <c r="A768" s="2"/>
      <c r="B768" s="2"/>
      <c r="C768" s="1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hidden="1">
      <c r="A769" s="2"/>
      <c r="B769" s="2"/>
      <c r="C769" s="1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hidden="1">
      <c r="A770" s="2"/>
      <c r="B770" s="2"/>
      <c r="C770" s="1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hidden="1">
      <c r="A771" s="2"/>
      <c r="B771" s="2"/>
      <c r="C771" s="1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hidden="1">
      <c r="A772" s="2"/>
      <c r="B772" s="2"/>
      <c r="C772" s="1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hidden="1">
      <c r="A773" s="2"/>
      <c r="B773" s="2"/>
      <c r="C773" s="1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hidden="1">
      <c r="A774" s="2"/>
      <c r="B774" s="2"/>
      <c r="C774" s="1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hidden="1">
      <c r="A775" s="2"/>
      <c r="B775" s="2"/>
      <c r="C775" s="1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hidden="1">
      <c r="A776" s="2"/>
      <c r="B776" s="2"/>
      <c r="C776" s="1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hidden="1">
      <c r="A777" s="2"/>
      <c r="B777" s="2"/>
      <c r="C777" s="1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hidden="1">
      <c r="A778" s="2"/>
      <c r="B778" s="2"/>
      <c r="C778" s="1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hidden="1">
      <c r="A779" s="2"/>
      <c r="B779" s="2"/>
      <c r="C779" s="1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hidden="1">
      <c r="A780" s="2"/>
      <c r="B780" s="2"/>
      <c r="C780" s="1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hidden="1">
      <c r="A781" s="2"/>
      <c r="B781" s="2"/>
      <c r="C781" s="1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hidden="1">
      <c r="A782" s="2"/>
      <c r="B782" s="2"/>
      <c r="C782" s="1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hidden="1">
      <c r="A783" s="2"/>
      <c r="B783" s="2"/>
      <c r="C783" s="1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hidden="1">
      <c r="A784" s="2"/>
      <c r="B784" s="2"/>
      <c r="C784" s="1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hidden="1">
      <c r="A785" s="2"/>
      <c r="B785" s="2"/>
      <c r="C785" s="1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hidden="1">
      <c r="A786" s="2"/>
      <c r="B786" s="2"/>
      <c r="C786" s="1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hidden="1">
      <c r="A787" s="2"/>
      <c r="B787" s="2"/>
      <c r="C787" s="1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hidden="1">
      <c r="A788" s="2"/>
      <c r="B788" s="2"/>
      <c r="C788" s="1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hidden="1">
      <c r="A789" s="2"/>
      <c r="B789" s="2"/>
      <c r="C789" s="1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hidden="1">
      <c r="A790" s="2"/>
      <c r="B790" s="2"/>
      <c r="C790" s="1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hidden="1">
      <c r="A791" s="2"/>
      <c r="B791" s="2"/>
      <c r="C791" s="1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hidden="1">
      <c r="A792" s="2"/>
      <c r="B792" s="2"/>
      <c r="C792" s="1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hidden="1">
      <c r="A793" s="2"/>
      <c r="B793" s="2"/>
      <c r="C793" s="1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hidden="1">
      <c r="A794" s="2"/>
      <c r="B794" s="2"/>
      <c r="C794" s="1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hidden="1">
      <c r="A795" s="2"/>
      <c r="B795" s="2"/>
      <c r="C795" s="1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hidden="1">
      <c r="A796" s="2"/>
      <c r="B796" s="2"/>
      <c r="C796" s="1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hidden="1">
      <c r="A797" s="2"/>
      <c r="B797" s="2"/>
      <c r="C797" s="1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hidden="1">
      <c r="A798" s="2"/>
      <c r="B798" s="2"/>
      <c r="C798" s="1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hidden="1">
      <c r="A799" s="2"/>
      <c r="B799" s="2"/>
      <c r="C799" s="1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hidden="1">
      <c r="A800" s="2"/>
      <c r="B800" s="2"/>
      <c r="C800" s="1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hidden="1">
      <c r="A801" s="2"/>
      <c r="B801" s="2"/>
      <c r="C801" s="1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hidden="1">
      <c r="A802" s="2"/>
      <c r="B802" s="2"/>
      <c r="C802" s="1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hidden="1">
      <c r="A803" s="2"/>
      <c r="B803" s="2"/>
      <c r="C803" s="1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hidden="1">
      <c r="A804" s="2"/>
      <c r="B804" s="2"/>
      <c r="C804" s="1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hidden="1">
      <c r="A805" s="2"/>
      <c r="B805" s="2"/>
      <c r="C805" s="1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hidden="1">
      <c r="A806" s="2"/>
      <c r="B806" s="2"/>
      <c r="C806" s="1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hidden="1">
      <c r="A807" s="2"/>
      <c r="B807" s="2"/>
      <c r="C807" s="1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hidden="1">
      <c r="A808" s="2"/>
      <c r="B808" s="2"/>
      <c r="C808" s="1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hidden="1">
      <c r="A809" s="2"/>
      <c r="B809" s="2"/>
      <c r="C809" s="1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hidden="1">
      <c r="A810" s="2"/>
      <c r="B810" s="2"/>
      <c r="C810" s="1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hidden="1">
      <c r="A811" s="2"/>
      <c r="B811" s="2"/>
      <c r="C811" s="1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hidden="1">
      <c r="A812" s="2"/>
      <c r="B812" s="2"/>
      <c r="C812" s="1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hidden="1">
      <c r="A813" s="2"/>
      <c r="B813" s="2"/>
      <c r="C813" s="1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hidden="1">
      <c r="A814" s="2"/>
      <c r="B814" s="2"/>
      <c r="C814" s="1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hidden="1">
      <c r="A815" s="2"/>
      <c r="B815" s="2"/>
      <c r="C815" s="1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hidden="1">
      <c r="A816" s="2"/>
      <c r="B816" s="2"/>
      <c r="C816" s="1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hidden="1">
      <c r="A817" s="2"/>
      <c r="B817" s="2"/>
      <c r="C817" s="1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hidden="1">
      <c r="A818" s="2"/>
      <c r="B818" s="2"/>
      <c r="C818" s="1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hidden="1">
      <c r="A819" s="2"/>
      <c r="B819" s="2"/>
      <c r="C819" s="1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hidden="1">
      <c r="A820" s="2"/>
      <c r="B820" s="2"/>
      <c r="C820" s="1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hidden="1">
      <c r="A821" s="2"/>
      <c r="B821" s="2"/>
      <c r="C821" s="1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hidden="1">
      <c r="A822" s="2"/>
      <c r="B822" s="2"/>
      <c r="C822" s="1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hidden="1">
      <c r="A823" s="2"/>
      <c r="B823" s="2"/>
      <c r="C823" s="1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hidden="1">
      <c r="A824" s="2"/>
      <c r="B824" s="2"/>
      <c r="C824" s="1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hidden="1">
      <c r="A825" s="2"/>
      <c r="B825" s="2"/>
      <c r="C825" s="1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hidden="1">
      <c r="A826" s="2"/>
      <c r="B826" s="2"/>
      <c r="C826" s="1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hidden="1">
      <c r="A827" s="2"/>
      <c r="B827" s="2"/>
      <c r="C827" s="1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hidden="1">
      <c r="A828" s="2"/>
      <c r="B828" s="2"/>
      <c r="C828" s="1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hidden="1">
      <c r="A829" s="2"/>
      <c r="B829" s="2"/>
      <c r="C829" s="1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hidden="1">
      <c r="A830" s="2"/>
      <c r="B830" s="2"/>
      <c r="C830" s="1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hidden="1">
      <c r="A831" s="2"/>
      <c r="B831" s="2"/>
      <c r="C831" s="1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hidden="1">
      <c r="A832" s="2"/>
      <c r="B832" s="2"/>
      <c r="C832" s="1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hidden="1">
      <c r="A833" s="2"/>
      <c r="B833" s="2"/>
      <c r="C833" s="1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hidden="1">
      <c r="A834" s="2"/>
      <c r="B834" s="2"/>
      <c r="C834" s="1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hidden="1">
      <c r="A835" s="2"/>
      <c r="B835" s="2"/>
      <c r="C835" s="1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hidden="1">
      <c r="A836" s="2"/>
      <c r="B836" s="2"/>
      <c r="C836" s="1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hidden="1">
      <c r="A837" s="2"/>
      <c r="B837" s="2"/>
      <c r="C837" s="1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hidden="1">
      <c r="A838" s="2"/>
      <c r="B838" s="2"/>
      <c r="C838" s="1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hidden="1">
      <c r="A839" s="2"/>
      <c r="B839" s="2"/>
      <c r="C839" s="1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hidden="1">
      <c r="A840" s="2"/>
      <c r="B840" s="2"/>
      <c r="C840" s="1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hidden="1">
      <c r="A841" s="2"/>
      <c r="B841" s="2"/>
      <c r="C841" s="1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hidden="1">
      <c r="A842" s="2"/>
      <c r="B842" s="2"/>
      <c r="C842" s="1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hidden="1">
      <c r="A843" s="2"/>
      <c r="B843" s="2"/>
      <c r="C843" s="1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hidden="1">
      <c r="A844" s="2"/>
      <c r="B844" s="2"/>
      <c r="C844" s="1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hidden="1">
      <c r="A845" s="2"/>
      <c r="B845" s="2"/>
      <c r="C845" s="1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hidden="1">
      <c r="A846" s="2"/>
      <c r="B846" s="2"/>
      <c r="C846" s="1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hidden="1">
      <c r="A847" s="2"/>
      <c r="B847" s="2"/>
      <c r="C847" s="1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hidden="1">
      <c r="A848" s="2"/>
      <c r="B848" s="2"/>
      <c r="C848" s="1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hidden="1">
      <c r="A849" s="2"/>
      <c r="B849" s="2"/>
      <c r="C849" s="1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hidden="1">
      <c r="A850" s="2"/>
      <c r="B850" s="2"/>
      <c r="C850" s="1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hidden="1">
      <c r="A851" s="2"/>
      <c r="B851" s="2"/>
      <c r="C851" s="1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hidden="1">
      <c r="A852" s="2"/>
      <c r="B852" s="2"/>
      <c r="C852" s="1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hidden="1">
      <c r="A853" s="2"/>
      <c r="B853" s="2"/>
      <c r="C853" s="1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hidden="1">
      <c r="A854" s="2"/>
      <c r="B854" s="2"/>
      <c r="C854" s="1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hidden="1">
      <c r="A855" s="2"/>
      <c r="B855" s="2"/>
      <c r="C855" s="1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hidden="1">
      <c r="A856" s="2"/>
      <c r="B856" s="2"/>
      <c r="C856" s="1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hidden="1">
      <c r="A857" s="2"/>
      <c r="B857" s="2"/>
      <c r="C857" s="1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hidden="1">
      <c r="A858" s="2"/>
      <c r="B858" s="2"/>
      <c r="C858" s="1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hidden="1">
      <c r="A859" s="2"/>
      <c r="B859" s="2"/>
      <c r="C859" s="1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hidden="1">
      <c r="A860" s="2"/>
      <c r="B860" s="2"/>
      <c r="C860" s="1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hidden="1">
      <c r="A861" s="2"/>
      <c r="B861" s="2"/>
      <c r="C861" s="1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hidden="1">
      <c r="A862" s="2"/>
      <c r="B862" s="2"/>
      <c r="C862" s="1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hidden="1">
      <c r="A863" s="2"/>
      <c r="B863" s="2"/>
      <c r="C863" s="1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hidden="1">
      <c r="A864" s="2"/>
      <c r="B864" s="2"/>
      <c r="C864" s="1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hidden="1">
      <c r="A865" s="2"/>
      <c r="B865" s="2"/>
      <c r="C865" s="1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hidden="1">
      <c r="A866" s="2"/>
      <c r="B866" s="2"/>
      <c r="C866" s="1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hidden="1">
      <c r="A867" s="2"/>
      <c r="B867" s="2"/>
      <c r="C867" s="1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hidden="1">
      <c r="A868" s="2"/>
      <c r="B868" s="2"/>
      <c r="C868" s="1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hidden="1">
      <c r="A869" s="2"/>
      <c r="B869" s="2"/>
      <c r="C869" s="1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hidden="1">
      <c r="A870" s="2"/>
      <c r="B870" s="2"/>
      <c r="C870" s="1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hidden="1">
      <c r="A871" s="2"/>
      <c r="B871" s="2"/>
      <c r="C871" s="1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hidden="1">
      <c r="A872" s="2"/>
      <c r="B872" s="2"/>
      <c r="C872" s="1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hidden="1">
      <c r="A873" s="2"/>
      <c r="B873" s="2"/>
      <c r="C873" s="1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hidden="1">
      <c r="A874" s="2"/>
      <c r="B874" s="2"/>
      <c r="C874" s="1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hidden="1">
      <c r="A875" s="2"/>
      <c r="B875" s="2"/>
      <c r="C875" s="1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hidden="1">
      <c r="A876" s="2"/>
      <c r="B876" s="2"/>
      <c r="C876" s="1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hidden="1">
      <c r="A877" s="2"/>
      <c r="B877" s="2"/>
      <c r="C877" s="1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hidden="1">
      <c r="A878" s="2"/>
      <c r="B878" s="2"/>
      <c r="C878" s="1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hidden="1">
      <c r="A879" s="2"/>
      <c r="B879" s="2"/>
      <c r="C879" s="1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hidden="1">
      <c r="A880" s="2"/>
      <c r="B880" s="2"/>
      <c r="C880" s="1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hidden="1">
      <c r="A881" s="2"/>
      <c r="B881" s="2"/>
      <c r="C881" s="1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hidden="1">
      <c r="A882" s="2"/>
      <c r="B882" s="2"/>
      <c r="C882" s="1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hidden="1">
      <c r="A883" s="2"/>
      <c r="B883" s="2"/>
      <c r="C883" s="1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hidden="1">
      <c r="A884" s="2"/>
      <c r="B884" s="2"/>
      <c r="C884" s="1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hidden="1">
      <c r="A885" s="2"/>
      <c r="B885" s="2"/>
      <c r="C885" s="1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hidden="1">
      <c r="A886" s="2"/>
      <c r="B886" s="2"/>
      <c r="C886" s="1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hidden="1">
      <c r="A887" s="2"/>
      <c r="B887" s="2"/>
      <c r="C887" s="1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hidden="1">
      <c r="A888" s="2"/>
      <c r="B888" s="2"/>
      <c r="C888" s="1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hidden="1">
      <c r="A889" s="2"/>
      <c r="B889" s="2"/>
      <c r="C889" s="1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hidden="1">
      <c r="A890" s="2"/>
      <c r="B890" s="2"/>
      <c r="C890" s="1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hidden="1">
      <c r="A891" s="2"/>
      <c r="B891" s="2"/>
      <c r="C891" s="1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hidden="1">
      <c r="A892" s="2"/>
      <c r="B892" s="2"/>
      <c r="C892" s="1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hidden="1">
      <c r="A893" s="2"/>
      <c r="B893" s="2"/>
      <c r="C893" s="1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hidden="1">
      <c r="A894" s="2"/>
      <c r="B894" s="2"/>
      <c r="C894" s="1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hidden="1">
      <c r="A895" s="2"/>
      <c r="B895" s="2"/>
      <c r="C895" s="1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hidden="1">
      <c r="A896" s="2"/>
      <c r="B896" s="2"/>
      <c r="C896" s="1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hidden="1">
      <c r="A897" s="2"/>
      <c r="B897" s="2"/>
      <c r="C897" s="1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hidden="1">
      <c r="A898" s="2"/>
      <c r="B898" s="2"/>
      <c r="C898" s="1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hidden="1">
      <c r="A899" s="2"/>
      <c r="B899" s="2"/>
      <c r="C899" s="1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hidden="1">
      <c r="A900" s="2"/>
      <c r="B900" s="2"/>
      <c r="C900" s="1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hidden="1">
      <c r="A901" s="2"/>
      <c r="B901" s="2"/>
      <c r="C901" s="1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hidden="1">
      <c r="A902" s="2"/>
      <c r="B902" s="2"/>
      <c r="C902" s="1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hidden="1">
      <c r="A903" s="2"/>
      <c r="B903" s="2"/>
      <c r="C903" s="1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hidden="1">
      <c r="A904" s="2"/>
      <c r="B904" s="2"/>
      <c r="C904" s="1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hidden="1">
      <c r="A905" s="2"/>
      <c r="B905" s="2"/>
      <c r="C905" s="1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hidden="1">
      <c r="A906" s="2"/>
      <c r="B906" s="2"/>
      <c r="C906" s="1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hidden="1">
      <c r="A907" s="2"/>
      <c r="B907" s="2"/>
      <c r="C907" s="1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hidden="1">
      <c r="A908" s="2"/>
      <c r="B908" s="2"/>
      <c r="C908" s="1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hidden="1">
      <c r="A909" s="2"/>
      <c r="B909" s="2"/>
      <c r="C909" s="1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hidden="1">
      <c r="A910" s="2"/>
      <c r="B910" s="2"/>
      <c r="C910" s="1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hidden="1">
      <c r="A911" s="2"/>
      <c r="B911" s="2"/>
      <c r="C911" s="1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hidden="1">
      <c r="A912" s="2"/>
      <c r="B912" s="2"/>
      <c r="C912" s="1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hidden="1">
      <c r="A913" s="2"/>
      <c r="B913" s="2"/>
      <c r="C913" s="1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hidden="1">
      <c r="A914" s="2"/>
      <c r="B914" s="2"/>
      <c r="C914" s="1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hidden="1">
      <c r="A915" s="2"/>
      <c r="B915" s="2"/>
      <c r="C915" s="1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hidden="1">
      <c r="A916" s="2"/>
      <c r="B916" s="2"/>
      <c r="C916" s="1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hidden="1">
      <c r="A917" s="2"/>
      <c r="B917" s="2"/>
      <c r="C917" s="1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hidden="1">
      <c r="A918" s="2"/>
      <c r="B918" s="2"/>
      <c r="C918" s="1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hidden="1">
      <c r="A919" s="2"/>
      <c r="B919" s="2"/>
      <c r="C919" s="1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hidden="1">
      <c r="A920" s="2"/>
      <c r="B920" s="2"/>
      <c r="C920" s="1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hidden="1">
      <c r="A921" s="2"/>
      <c r="B921" s="2"/>
      <c r="C921" s="1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hidden="1">
      <c r="A922" s="2"/>
      <c r="B922" s="2"/>
      <c r="C922" s="1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hidden="1">
      <c r="A923" s="2"/>
      <c r="B923" s="2"/>
      <c r="C923" s="1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hidden="1">
      <c r="A924" s="2"/>
      <c r="B924" s="2"/>
      <c r="C924" s="1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hidden="1">
      <c r="A925" s="2"/>
      <c r="B925" s="2"/>
      <c r="C925" s="1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hidden="1">
      <c r="A926" s="2"/>
      <c r="B926" s="2"/>
      <c r="C926" s="1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hidden="1">
      <c r="A927" s="2"/>
      <c r="B927" s="2"/>
      <c r="C927" s="1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hidden="1">
      <c r="A928" s="2"/>
      <c r="B928" s="2"/>
      <c r="C928" s="1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hidden="1">
      <c r="A929" s="2"/>
      <c r="B929" s="2"/>
      <c r="C929" s="1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hidden="1">
      <c r="A930" s="2"/>
      <c r="B930" s="2"/>
      <c r="C930" s="1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hidden="1">
      <c r="A931" s="2"/>
      <c r="B931" s="2"/>
      <c r="C931" s="1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hidden="1">
      <c r="A932" s="2"/>
      <c r="B932" s="2"/>
      <c r="C932" s="1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hidden="1">
      <c r="A933" s="2"/>
      <c r="B933" s="2"/>
      <c r="C933" s="1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hidden="1">
      <c r="A934" s="2"/>
      <c r="B934" s="2"/>
      <c r="C934" s="1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hidden="1">
      <c r="A935" s="2"/>
      <c r="B935" s="2"/>
      <c r="C935" s="1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hidden="1">
      <c r="A936" s="2"/>
      <c r="B936" s="2"/>
      <c r="C936" s="1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hidden="1">
      <c r="A937" s="2"/>
      <c r="B937" s="2"/>
      <c r="C937" s="1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hidden="1">
      <c r="A938" s="2"/>
      <c r="B938" s="2"/>
      <c r="C938" s="1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hidden="1">
      <c r="A939" s="2"/>
      <c r="B939" s="2"/>
      <c r="C939" s="1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hidden="1">
      <c r="A940" s="2"/>
      <c r="B940" s="2"/>
      <c r="C940" s="1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hidden="1">
      <c r="A941" s="2"/>
      <c r="B941" s="2"/>
      <c r="C941" s="1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hidden="1">
      <c r="A942" s="2"/>
      <c r="B942" s="2"/>
      <c r="C942" s="1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hidden="1">
      <c r="A943" s="2"/>
      <c r="B943" s="2"/>
      <c r="C943" s="1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hidden="1">
      <c r="A944" s="2"/>
      <c r="B944" s="2"/>
      <c r="C944" s="1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hidden="1">
      <c r="A945" s="2"/>
      <c r="B945" s="2"/>
      <c r="C945" s="1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hidden="1">
      <c r="A946" s="2"/>
      <c r="B946" s="2"/>
      <c r="C946" s="1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hidden="1">
      <c r="A947" s="2"/>
      <c r="B947" s="2"/>
      <c r="C947" s="1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hidden="1">
      <c r="A948" s="2"/>
      <c r="B948" s="2"/>
      <c r="C948" s="1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hidden="1">
      <c r="A949" s="2"/>
      <c r="B949" s="2"/>
      <c r="C949" s="1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hidden="1">
      <c r="A950" s="2"/>
      <c r="B950" s="2"/>
      <c r="C950" s="1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hidden="1">
      <c r="A951" s="2"/>
      <c r="B951" s="2"/>
      <c r="C951" s="1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hidden="1">
      <c r="A952" s="2"/>
      <c r="B952" s="2"/>
      <c r="C952" s="1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hidden="1">
      <c r="A953" s="2"/>
      <c r="B953" s="2"/>
      <c r="C953" s="1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hidden="1">
      <c r="A954" s="2"/>
      <c r="B954" s="2"/>
      <c r="C954" s="1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hidden="1">
      <c r="A955" s="2"/>
      <c r="B955" s="2"/>
      <c r="C955" s="1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hidden="1">
      <c r="A956" s="2"/>
      <c r="B956" s="2"/>
      <c r="C956" s="1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hidden="1">
      <c r="A957" s="2"/>
      <c r="B957" s="2"/>
      <c r="C957" s="1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hidden="1">
      <c r="A958" s="2"/>
      <c r="B958" s="2"/>
      <c r="C958" s="1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hidden="1">
      <c r="A959" s="2"/>
      <c r="B959" s="2"/>
      <c r="C959" s="1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hidden="1">
      <c r="A960" s="2"/>
      <c r="B960" s="2"/>
      <c r="C960" s="1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hidden="1">
      <c r="A961" s="2"/>
      <c r="B961" s="2"/>
      <c r="C961" s="1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hidden="1">
      <c r="A962" s="2"/>
      <c r="B962" s="2"/>
      <c r="C962" s="1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hidden="1">
      <c r="A963" s="2"/>
      <c r="B963" s="2"/>
      <c r="C963" s="1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hidden="1">
      <c r="A964" s="2"/>
      <c r="B964" s="2"/>
      <c r="C964" s="1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hidden="1">
      <c r="A965" s="2"/>
      <c r="B965" s="2"/>
      <c r="C965" s="1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hidden="1">
      <c r="A966" s="2"/>
      <c r="B966" s="2"/>
      <c r="C966" s="1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hidden="1">
      <c r="A967" s="2"/>
      <c r="B967" s="2"/>
      <c r="C967" s="1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hidden="1">
      <c r="A968" s="2"/>
      <c r="B968" s="2"/>
      <c r="C968" s="1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hidden="1">
      <c r="A969" s="2"/>
      <c r="B969" s="2"/>
      <c r="C969" s="1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hidden="1">
      <c r="A970" s="2"/>
      <c r="B970" s="2"/>
      <c r="C970" s="1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hidden="1">
      <c r="A971" s="2"/>
      <c r="B971" s="2"/>
      <c r="C971" s="1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hidden="1">
      <c r="A972" s="2"/>
      <c r="B972" s="2"/>
      <c r="C972" s="1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hidden="1">
      <c r="A973" s="2"/>
      <c r="B973" s="2"/>
      <c r="C973" s="1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hidden="1">
      <c r="A974" s="2"/>
      <c r="B974" s="2"/>
      <c r="C974" s="1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</sheetData>
  <autoFilter ref="A1:Z974" xr:uid="{00000000-0009-0000-0000-000002000000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88"/>
  <sheetViews>
    <sheetView workbookViewId="0">
      <pane xSplit="2" topLeftCell="C1" activePane="topRight" state="frozen"/>
      <selection pane="topRight" activeCell="D2" sqref="D2"/>
    </sheetView>
  </sheetViews>
  <sheetFormatPr defaultColWidth="12.5703125" defaultRowHeight="15.75" customHeight="1"/>
  <cols>
    <col min="1" max="1" width="5.42578125" customWidth="1"/>
    <col min="2" max="2" width="35.42578125" customWidth="1"/>
    <col min="7" max="7" width="12.42578125" customWidth="1"/>
    <col min="9" max="9" width="9.5703125" customWidth="1"/>
  </cols>
  <sheetData>
    <row r="1" spans="1:26">
      <c r="A1" s="1" t="s">
        <v>1</v>
      </c>
      <c r="B1" s="1" t="s">
        <v>2</v>
      </c>
      <c r="C1" s="4">
        <v>2015</v>
      </c>
      <c r="D1" s="4">
        <v>2016</v>
      </c>
      <c r="E1" s="4">
        <v>2017</v>
      </c>
      <c r="F1" s="4">
        <v>2018</v>
      </c>
      <c r="G1" s="4">
        <v>2019</v>
      </c>
      <c r="H1" s="4">
        <v>2020</v>
      </c>
      <c r="I1" s="4">
        <v>2021</v>
      </c>
      <c r="J1" s="4">
        <v>2022</v>
      </c>
      <c r="K1" s="4">
        <v>2023</v>
      </c>
      <c r="L1" s="4">
        <v>2024</v>
      </c>
      <c r="M1" s="4">
        <v>2025</v>
      </c>
      <c r="N1" s="2"/>
      <c r="O1" s="3" t="s">
        <v>60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 t="s">
        <v>8</v>
      </c>
      <c r="B2" s="5" t="s">
        <v>61</v>
      </c>
      <c r="C2" s="6"/>
      <c r="D2" s="4"/>
      <c r="E2" s="7"/>
      <c r="F2" s="7"/>
      <c r="G2" s="7"/>
      <c r="H2" s="7"/>
      <c r="I2" s="7"/>
      <c r="J2" s="7"/>
      <c r="K2" s="7"/>
      <c r="L2" s="6"/>
      <c r="M2" s="6">
        <v>101258954</v>
      </c>
      <c r="N2" s="3" t="s">
        <v>33</v>
      </c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 t="s">
        <v>8</v>
      </c>
      <c r="B3" s="5" t="s">
        <v>62</v>
      </c>
      <c r="C3" s="6"/>
      <c r="D3" s="4"/>
      <c r="E3" s="7"/>
      <c r="F3" s="7"/>
      <c r="G3" s="7"/>
      <c r="H3" s="7"/>
      <c r="I3" s="7"/>
      <c r="J3" s="7"/>
      <c r="K3" s="7"/>
      <c r="L3" s="6"/>
      <c r="M3" s="6">
        <v>-42596241</v>
      </c>
      <c r="N3" s="3" t="s">
        <v>33</v>
      </c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 t="s">
        <v>8</v>
      </c>
      <c r="B4" s="5" t="s">
        <v>63</v>
      </c>
      <c r="C4" s="6"/>
      <c r="D4" s="4"/>
      <c r="E4" s="7"/>
      <c r="F4" s="7"/>
      <c r="G4" s="7"/>
      <c r="H4" s="7"/>
      <c r="I4" s="7"/>
      <c r="J4" s="7"/>
      <c r="K4" s="7"/>
      <c r="L4" s="6"/>
      <c r="M4" s="6">
        <v>15030415</v>
      </c>
      <c r="N4" s="3" t="s">
        <v>33</v>
      </c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8</v>
      </c>
      <c r="B5" s="5" t="s">
        <v>64</v>
      </c>
      <c r="C5" s="6"/>
      <c r="D5" s="4"/>
      <c r="E5" s="7"/>
      <c r="F5" s="7"/>
      <c r="G5" s="7"/>
      <c r="H5" s="7"/>
      <c r="I5" s="7"/>
      <c r="J5" s="7"/>
      <c r="K5" s="7"/>
      <c r="L5" s="6"/>
      <c r="M5" s="6">
        <v>4596739</v>
      </c>
      <c r="N5" s="3" t="s">
        <v>42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 t="s">
        <v>8</v>
      </c>
      <c r="B6" s="5" t="s">
        <v>65</v>
      </c>
      <c r="C6" s="6"/>
      <c r="D6" s="4"/>
      <c r="E6" s="7"/>
      <c r="F6" s="7"/>
      <c r="G6" s="7"/>
      <c r="H6" s="7"/>
      <c r="I6" s="7"/>
      <c r="J6" s="7"/>
      <c r="K6" s="7"/>
      <c r="L6" s="6"/>
      <c r="M6" s="6">
        <v>1962291</v>
      </c>
      <c r="N6" s="3" t="s">
        <v>42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 t="s">
        <v>8</v>
      </c>
      <c r="B7" s="5" t="s">
        <v>66</v>
      </c>
      <c r="C7" s="6"/>
      <c r="D7" s="4"/>
      <c r="E7" s="7"/>
      <c r="F7" s="7"/>
      <c r="G7" s="7"/>
      <c r="H7" s="7"/>
      <c r="I7" s="7"/>
      <c r="J7" s="7"/>
      <c r="K7" s="7"/>
      <c r="L7" s="6"/>
      <c r="M7" s="6">
        <v>53812</v>
      </c>
      <c r="N7" s="3" t="s">
        <v>42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 t="s">
        <v>8</v>
      </c>
      <c r="B8" s="5" t="s">
        <v>67</v>
      </c>
      <c r="C8" s="6"/>
      <c r="D8" s="4"/>
      <c r="E8" s="7"/>
      <c r="F8" s="7"/>
      <c r="G8" s="7"/>
      <c r="H8" s="7"/>
      <c r="I8" s="7"/>
      <c r="J8" s="7"/>
      <c r="K8" s="7"/>
      <c r="L8" s="6"/>
      <c r="M8" s="6">
        <v>38437</v>
      </c>
      <c r="N8" s="3" t="s">
        <v>42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 t="s">
        <v>8</v>
      </c>
      <c r="B9" s="5" t="s">
        <v>68</v>
      </c>
      <c r="C9" s="6"/>
      <c r="D9" s="4"/>
      <c r="E9" s="7"/>
      <c r="F9" s="7"/>
      <c r="G9" s="7"/>
      <c r="H9" s="7"/>
      <c r="I9" s="7"/>
      <c r="J9" s="7"/>
      <c r="K9" s="7"/>
      <c r="L9" s="6"/>
      <c r="M9" s="6">
        <f>0</f>
        <v>0</v>
      </c>
      <c r="N9" s="3" t="s">
        <v>42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 t="s">
        <v>8</v>
      </c>
      <c r="B10" s="5" t="s">
        <v>69</v>
      </c>
      <c r="C10" s="6"/>
      <c r="D10" s="4"/>
      <c r="E10" s="7"/>
      <c r="F10" s="7"/>
      <c r="G10" s="7"/>
      <c r="H10" s="7"/>
      <c r="I10" s="7"/>
      <c r="J10" s="7"/>
      <c r="K10" s="7"/>
      <c r="L10" s="6"/>
      <c r="M10" s="6">
        <v>10875443</v>
      </c>
      <c r="N10" s="3" t="s">
        <v>33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4" t="s">
        <v>8</v>
      </c>
      <c r="B11" s="5" t="s">
        <v>70</v>
      </c>
      <c r="C11" s="6"/>
      <c r="D11" s="4"/>
      <c r="E11" s="7"/>
      <c r="F11" s="7"/>
      <c r="G11" s="7"/>
      <c r="H11" s="7"/>
      <c r="I11" s="7"/>
      <c r="J11" s="7"/>
      <c r="K11" s="7"/>
      <c r="L11" s="6"/>
      <c r="M11" s="6">
        <v>35161</v>
      </c>
      <c r="N11" s="3" t="s">
        <v>33</v>
      </c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 t="s">
        <v>10</v>
      </c>
      <c r="B12" s="5" t="s">
        <v>71</v>
      </c>
      <c r="C12" s="6"/>
      <c r="D12" s="4"/>
      <c r="E12" s="7"/>
      <c r="F12" s="7"/>
      <c r="G12" s="7"/>
      <c r="H12" s="7"/>
      <c r="I12" s="7"/>
      <c r="J12" s="7"/>
      <c r="K12" s="7"/>
      <c r="L12" s="6"/>
      <c r="M12" s="6">
        <f>M2+M4+M5+M6+M7+M10+M11+M8+M9</f>
        <v>133851252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 t="s">
        <v>8</v>
      </c>
      <c r="B13" s="5" t="s">
        <v>72</v>
      </c>
      <c r="C13" s="6"/>
      <c r="D13" s="4"/>
      <c r="E13" s="7"/>
      <c r="F13" s="7"/>
      <c r="G13" s="7"/>
      <c r="H13" s="7"/>
      <c r="I13" s="7"/>
      <c r="J13" s="7"/>
      <c r="K13" s="7"/>
      <c r="L13" s="6">
        <v>62255000</v>
      </c>
      <c r="M13" s="6">
        <v>74653817</v>
      </c>
      <c r="N13" s="24" t="s">
        <v>33</v>
      </c>
      <c r="O13" s="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5" t="s">
        <v>10</v>
      </c>
      <c r="B14" s="5" t="s">
        <v>73</v>
      </c>
      <c r="C14" s="6"/>
      <c r="D14" s="4"/>
      <c r="E14" s="7"/>
      <c r="F14" s="7"/>
      <c r="G14" s="7"/>
      <c r="H14" s="7"/>
      <c r="I14" s="7"/>
      <c r="J14" s="7"/>
      <c r="K14" s="7"/>
      <c r="L14" s="6"/>
      <c r="M14" s="14">
        <f>M13/M12</f>
        <v>0.55773715885750552</v>
      </c>
      <c r="N14" s="2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5" t="s">
        <v>10</v>
      </c>
      <c r="B15" s="5" t="s">
        <v>11</v>
      </c>
      <c r="C15" s="8"/>
      <c r="D15" s="10" t="e">
        <f t="shared" ref="D15:M15" si="0">(D13-C13)/C13</f>
        <v>#DIV/0!</v>
      </c>
      <c r="E15" s="10" t="e">
        <f t="shared" si="0"/>
        <v>#DIV/0!</v>
      </c>
      <c r="F15" s="10" t="e">
        <f t="shared" si="0"/>
        <v>#DIV/0!</v>
      </c>
      <c r="G15" s="10" t="e">
        <f t="shared" si="0"/>
        <v>#DIV/0!</v>
      </c>
      <c r="H15" s="10" t="e">
        <f t="shared" si="0"/>
        <v>#DIV/0!</v>
      </c>
      <c r="I15" s="10" t="e">
        <f t="shared" si="0"/>
        <v>#DIV/0!</v>
      </c>
      <c r="J15" s="10" t="e">
        <f t="shared" si="0"/>
        <v>#DIV/0!</v>
      </c>
      <c r="K15" s="10" t="e">
        <f t="shared" si="0"/>
        <v>#DIV/0!</v>
      </c>
      <c r="L15" s="10" t="e">
        <f t="shared" si="0"/>
        <v>#DIV/0!</v>
      </c>
      <c r="M15" s="10">
        <f t="shared" si="0"/>
        <v>0.19916178620191149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4" t="s">
        <v>8</v>
      </c>
      <c r="B16" s="5" t="s">
        <v>17</v>
      </c>
      <c r="C16" s="6"/>
      <c r="D16" s="7"/>
      <c r="E16" s="7"/>
      <c r="F16" s="7"/>
      <c r="G16" s="7"/>
      <c r="H16" s="7"/>
      <c r="I16" s="7"/>
      <c r="J16" s="7"/>
      <c r="K16" s="7"/>
      <c r="L16" s="6">
        <v>-14340000</v>
      </c>
      <c r="M16" s="6">
        <v>-18630319</v>
      </c>
      <c r="N16" s="24" t="s">
        <v>33</v>
      </c>
      <c r="O16" s="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5" t="s">
        <v>10</v>
      </c>
      <c r="B17" s="5" t="s">
        <v>5</v>
      </c>
      <c r="C17" s="12"/>
      <c r="D17" s="7"/>
      <c r="E17" s="7"/>
      <c r="F17" s="7"/>
      <c r="G17" s="7"/>
      <c r="H17" s="7"/>
      <c r="I17" s="7"/>
      <c r="J17" s="7"/>
      <c r="K17" s="7"/>
      <c r="L17" s="10"/>
      <c r="M17" s="10">
        <f>ABS(M16)/M13</f>
        <v>0.24955614794619277</v>
      </c>
      <c r="N17" s="2"/>
      <c r="O17" s="3" t="s">
        <v>74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5" t="s">
        <v>10</v>
      </c>
      <c r="B18" s="5" t="s">
        <v>21</v>
      </c>
      <c r="C18" s="8"/>
      <c r="D18" s="10" t="e">
        <f t="shared" ref="D18:L18" si="1">(D16-C16)/C16</f>
        <v>#DIV/0!</v>
      </c>
      <c r="E18" s="10" t="e">
        <f t="shared" si="1"/>
        <v>#DIV/0!</v>
      </c>
      <c r="F18" s="10" t="e">
        <f t="shared" si="1"/>
        <v>#DIV/0!</v>
      </c>
      <c r="G18" s="10" t="e">
        <f t="shared" si="1"/>
        <v>#DIV/0!</v>
      </c>
      <c r="H18" s="10" t="e">
        <f t="shared" si="1"/>
        <v>#DIV/0!</v>
      </c>
      <c r="I18" s="10" t="e">
        <f t="shared" si="1"/>
        <v>#DIV/0!</v>
      </c>
      <c r="J18" s="10" t="e">
        <f t="shared" si="1"/>
        <v>#DIV/0!</v>
      </c>
      <c r="K18" s="10" t="e">
        <f t="shared" si="1"/>
        <v>#DIV/0!</v>
      </c>
      <c r="L18" s="10" t="e">
        <f t="shared" si="1"/>
        <v>#DIV/0!</v>
      </c>
      <c r="M18" s="10">
        <f>(ABS(M16)-ABS(L16))/ABS(L16)</f>
        <v>0.29918542538354254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4" t="s">
        <v>8</v>
      </c>
      <c r="B19" s="5" t="s">
        <v>75</v>
      </c>
      <c r="C19" s="8"/>
      <c r="D19" s="7"/>
      <c r="E19" s="7"/>
      <c r="F19" s="7"/>
      <c r="G19" s="7"/>
      <c r="H19" s="7"/>
      <c r="I19" s="7"/>
      <c r="J19" s="7"/>
      <c r="K19" s="7"/>
      <c r="L19" s="6"/>
      <c r="M19" s="6">
        <v>56023498</v>
      </c>
      <c r="N19" s="3" t="s">
        <v>33</v>
      </c>
      <c r="O19" s="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5" t="s">
        <v>10</v>
      </c>
      <c r="B20" s="5" t="s">
        <v>13</v>
      </c>
      <c r="C20" s="8"/>
      <c r="D20" s="7"/>
      <c r="E20" s="7"/>
      <c r="F20" s="7"/>
      <c r="G20" s="7"/>
      <c r="H20" s="7"/>
      <c r="I20" s="7"/>
      <c r="J20" s="7"/>
      <c r="K20" s="7"/>
      <c r="L20" s="10"/>
      <c r="M20" s="10">
        <f>M19/M12</f>
        <v>0.41855042192657266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5" t="s">
        <v>10</v>
      </c>
      <c r="B21" s="5" t="s">
        <v>77</v>
      </c>
      <c r="C21" s="6"/>
      <c r="D21" s="7"/>
      <c r="E21" s="7"/>
      <c r="F21" s="7"/>
      <c r="G21" s="7"/>
      <c r="H21" s="7"/>
      <c r="I21" s="7"/>
      <c r="J21" s="7"/>
      <c r="K21" s="7"/>
      <c r="L21" s="6"/>
      <c r="M21" s="14">
        <f>ABS(M3)/M19</f>
        <v>0.76032812160354568</v>
      </c>
      <c r="N21" s="2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4" t="s">
        <v>8</v>
      </c>
      <c r="B22" s="5" t="s">
        <v>79</v>
      </c>
      <c r="C22" s="6"/>
      <c r="D22" s="7"/>
      <c r="E22" s="7"/>
      <c r="F22" s="7"/>
      <c r="G22" s="7"/>
      <c r="H22" s="7"/>
      <c r="I22" s="7"/>
      <c r="J22" s="7"/>
      <c r="K22" s="7"/>
      <c r="L22" s="6"/>
      <c r="M22" s="6">
        <v>-25398549</v>
      </c>
      <c r="N22" s="24" t="s">
        <v>33</v>
      </c>
      <c r="O22" s="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4" t="s">
        <v>8</v>
      </c>
      <c r="B23" s="5" t="s">
        <v>29</v>
      </c>
      <c r="C23" s="6"/>
      <c r="D23" s="7"/>
      <c r="E23" s="7"/>
      <c r="F23" s="7"/>
      <c r="G23" s="7"/>
      <c r="H23" s="7"/>
      <c r="I23" s="7"/>
      <c r="J23" s="7"/>
      <c r="K23" s="7"/>
      <c r="L23" s="8"/>
      <c r="M23" s="8">
        <v>30624949</v>
      </c>
      <c r="N23" s="3" t="s">
        <v>33</v>
      </c>
      <c r="O23" s="3" t="s">
        <v>74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5" t="s">
        <v>10</v>
      </c>
      <c r="B24" s="5" t="s">
        <v>80</v>
      </c>
      <c r="C24" s="8"/>
      <c r="D24" s="7"/>
      <c r="E24" s="7"/>
      <c r="F24" s="7"/>
      <c r="G24" s="7"/>
      <c r="H24" s="7"/>
      <c r="I24" s="7"/>
      <c r="J24" s="7"/>
      <c r="K24" s="7"/>
      <c r="L24" s="6"/>
      <c r="M24" s="14">
        <f>M23/M12</f>
        <v>0.22879837537866288</v>
      </c>
      <c r="N24" s="2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4" t="s">
        <v>8</v>
      </c>
      <c r="B25" s="5" t="s">
        <v>81</v>
      </c>
      <c r="C25" s="8"/>
      <c r="D25" s="7"/>
      <c r="E25" s="7"/>
      <c r="F25" s="7"/>
      <c r="G25" s="7"/>
      <c r="H25" s="7"/>
      <c r="I25" s="7"/>
      <c r="J25" s="7"/>
      <c r="K25" s="7"/>
      <c r="L25" s="6"/>
      <c r="M25" s="6">
        <v>24354596</v>
      </c>
      <c r="N25" s="24" t="s">
        <v>33</v>
      </c>
      <c r="O25" s="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4" t="s">
        <v>8</v>
      </c>
      <c r="B26" s="5" t="s">
        <v>82</v>
      </c>
      <c r="C26" s="8"/>
      <c r="D26" s="7"/>
      <c r="E26" s="7"/>
      <c r="F26" s="7"/>
      <c r="G26" s="7"/>
      <c r="H26" s="7"/>
      <c r="I26" s="7"/>
      <c r="J26" s="7"/>
      <c r="K26" s="7"/>
      <c r="L26" s="6">
        <v>15778795</v>
      </c>
      <c r="M26" s="6">
        <f>23989930</f>
        <v>23989930</v>
      </c>
      <c r="N26" s="24" t="s">
        <v>33</v>
      </c>
      <c r="O26" s="3" t="s">
        <v>74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5" t="s">
        <v>10</v>
      </c>
      <c r="B27" s="5" t="s">
        <v>83</v>
      </c>
      <c r="C27" s="8"/>
      <c r="D27" s="7"/>
      <c r="E27" s="7"/>
      <c r="F27" s="7"/>
      <c r="G27" s="7"/>
      <c r="H27" s="7"/>
      <c r="I27" s="7"/>
      <c r="J27" s="7"/>
      <c r="K27" s="7"/>
      <c r="L27" s="10"/>
      <c r="M27" s="10">
        <f>M26/M12</f>
        <v>0.17922828245192657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5" t="s">
        <v>10</v>
      </c>
      <c r="B28" s="5" t="s">
        <v>19</v>
      </c>
      <c r="C28" s="10"/>
      <c r="D28" s="10" t="e">
        <f t="shared" ref="D28:M28" si="2">(D26-C26)/C26</f>
        <v>#DIV/0!</v>
      </c>
      <c r="E28" s="10" t="e">
        <f t="shared" si="2"/>
        <v>#DIV/0!</v>
      </c>
      <c r="F28" s="10" t="e">
        <f t="shared" si="2"/>
        <v>#DIV/0!</v>
      </c>
      <c r="G28" s="10" t="e">
        <f t="shared" si="2"/>
        <v>#DIV/0!</v>
      </c>
      <c r="H28" s="10" t="e">
        <f t="shared" si="2"/>
        <v>#DIV/0!</v>
      </c>
      <c r="I28" s="10" t="e">
        <f t="shared" si="2"/>
        <v>#DIV/0!</v>
      </c>
      <c r="J28" s="10" t="e">
        <f t="shared" si="2"/>
        <v>#DIV/0!</v>
      </c>
      <c r="K28" s="10" t="e">
        <f t="shared" si="2"/>
        <v>#DIV/0!</v>
      </c>
      <c r="L28" s="10" t="e">
        <f t="shared" si="2"/>
        <v>#DIV/0!</v>
      </c>
      <c r="M28" s="10">
        <f t="shared" si="2"/>
        <v>0.52039049876749144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4" t="s">
        <v>8</v>
      </c>
      <c r="B29" s="5" t="s">
        <v>84</v>
      </c>
      <c r="C29" s="8"/>
      <c r="D29" s="10"/>
      <c r="E29" s="7"/>
      <c r="F29" s="7"/>
      <c r="G29" s="7"/>
      <c r="H29" s="7"/>
      <c r="I29" s="7"/>
      <c r="J29" s="7"/>
      <c r="K29" s="7"/>
      <c r="L29" s="6">
        <v>1989</v>
      </c>
      <c r="M29" s="6">
        <v>3024</v>
      </c>
      <c r="N29" s="24" t="s">
        <v>33</v>
      </c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4" t="s">
        <v>8</v>
      </c>
      <c r="B30" s="5" t="s">
        <v>85</v>
      </c>
      <c r="C30" s="6"/>
      <c r="D30" s="10"/>
      <c r="E30" s="7"/>
      <c r="F30" s="7"/>
      <c r="G30" s="7"/>
      <c r="H30" s="7"/>
      <c r="I30" s="7"/>
      <c r="J30" s="7"/>
      <c r="K30" s="7"/>
      <c r="L30" s="6"/>
      <c r="M30" s="6">
        <v>1275072</v>
      </c>
      <c r="N30" s="30" t="s">
        <v>42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5" t="s">
        <v>10</v>
      </c>
      <c r="B31" s="5" t="s">
        <v>87</v>
      </c>
      <c r="C31" s="8"/>
      <c r="D31" s="10"/>
      <c r="E31" s="7"/>
      <c r="F31" s="7"/>
      <c r="G31" s="7"/>
      <c r="H31" s="7"/>
      <c r="I31" s="7"/>
      <c r="J31" s="7"/>
      <c r="K31" s="7"/>
      <c r="L31" s="10"/>
      <c r="M31" s="10">
        <f>M30/M13</f>
        <v>1.7079796469080744E-2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4" t="s">
        <v>8</v>
      </c>
      <c r="B32" s="5" t="s">
        <v>89</v>
      </c>
      <c r="C32" s="6"/>
      <c r="D32" s="10"/>
      <c r="E32" s="7"/>
      <c r="F32" s="7"/>
      <c r="G32" s="7"/>
      <c r="H32" s="7"/>
      <c r="I32" s="7"/>
      <c r="J32" s="7"/>
      <c r="K32" s="4" t="s">
        <v>41</v>
      </c>
      <c r="L32" s="6">
        <v>511641</v>
      </c>
      <c r="M32" s="6">
        <v>549588</v>
      </c>
      <c r="N32" s="30" t="s">
        <v>42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5" t="s">
        <v>10</v>
      </c>
      <c r="B33" s="5" t="s">
        <v>12</v>
      </c>
      <c r="C33" s="8"/>
      <c r="D33" s="10"/>
      <c r="E33" s="7"/>
      <c r="F33" s="7"/>
      <c r="G33" s="7"/>
      <c r="H33" s="7"/>
      <c r="I33" s="7"/>
      <c r="J33" s="7"/>
      <c r="K33" s="7"/>
      <c r="L33" s="10"/>
      <c r="M33" s="10">
        <f>M32/M13</f>
        <v>7.3618204947243351E-3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4" t="s">
        <v>8</v>
      </c>
      <c r="B34" s="5" t="s">
        <v>76</v>
      </c>
      <c r="C34" s="8"/>
      <c r="D34" s="10"/>
      <c r="E34" s="7"/>
      <c r="F34" s="7"/>
      <c r="G34" s="7"/>
      <c r="H34" s="7"/>
      <c r="I34" s="7"/>
      <c r="J34" s="7"/>
      <c r="K34" s="7"/>
      <c r="L34" s="6"/>
      <c r="M34" s="6">
        <v>943901630</v>
      </c>
      <c r="N34" s="24" t="s">
        <v>6</v>
      </c>
      <c r="O34" s="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4" t="s">
        <v>8</v>
      </c>
      <c r="B35" s="5" t="s">
        <v>92</v>
      </c>
      <c r="C35" s="6"/>
      <c r="D35" s="7"/>
      <c r="E35" s="7"/>
      <c r="F35" s="7"/>
      <c r="G35" s="7"/>
      <c r="H35" s="7"/>
      <c r="I35" s="7"/>
      <c r="J35" s="7"/>
      <c r="K35" s="7"/>
      <c r="L35" s="6"/>
      <c r="M35" s="6">
        <v>17428971</v>
      </c>
      <c r="N35" s="24" t="s">
        <v>6</v>
      </c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5" t="s">
        <v>8</v>
      </c>
      <c r="B36" s="5" t="s">
        <v>43</v>
      </c>
      <c r="C36" s="6"/>
      <c r="D36" s="7"/>
      <c r="E36" s="7"/>
      <c r="F36" s="7"/>
      <c r="G36" s="7"/>
      <c r="H36" s="7"/>
      <c r="I36" s="7"/>
      <c r="J36" s="7"/>
      <c r="K36" s="7"/>
      <c r="L36" s="14"/>
      <c r="M36" s="14">
        <v>5.4899999999999997E-2</v>
      </c>
      <c r="N36" s="3" t="s">
        <v>94</v>
      </c>
      <c r="O36" s="3" t="s">
        <v>74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4" t="s">
        <v>8</v>
      </c>
      <c r="B37" s="5" t="s">
        <v>93</v>
      </c>
      <c r="C37" s="6"/>
      <c r="D37" s="7"/>
      <c r="E37" s="7"/>
      <c r="F37" s="7"/>
      <c r="G37" s="7"/>
      <c r="H37" s="7"/>
      <c r="I37" s="7"/>
      <c r="J37" s="7"/>
      <c r="K37" s="7"/>
      <c r="L37" s="6"/>
      <c r="M37" s="6">
        <v>11429858</v>
      </c>
      <c r="N37" s="24" t="s">
        <v>42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4" t="s">
        <v>8</v>
      </c>
      <c r="B38" s="5" t="s">
        <v>95</v>
      </c>
      <c r="C38" s="6"/>
      <c r="D38" s="7"/>
      <c r="E38" s="7"/>
      <c r="F38" s="7"/>
      <c r="G38" s="7"/>
      <c r="H38" s="7"/>
      <c r="I38" s="7"/>
      <c r="J38" s="7"/>
      <c r="K38" s="7"/>
      <c r="L38" s="6"/>
      <c r="M38" s="6">
        <v>10879958</v>
      </c>
      <c r="N38" s="24" t="s">
        <v>42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4" t="s">
        <v>8</v>
      </c>
      <c r="B39" s="5" t="s">
        <v>96</v>
      </c>
      <c r="C39" s="6"/>
      <c r="D39" s="7"/>
      <c r="E39" s="7"/>
      <c r="F39" s="7"/>
      <c r="G39" s="7"/>
      <c r="H39" s="7"/>
      <c r="I39" s="7"/>
      <c r="J39" s="7"/>
      <c r="K39" s="7"/>
      <c r="L39" s="6"/>
      <c r="M39" s="6">
        <v>9154889</v>
      </c>
      <c r="N39" s="24" t="s">
        <v>42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4" t="s">
        <v>10</v>
      </c>
      <c r="B40" s="5" t="s">
        <v>97</v>
      </c>
      <c r="C40" s="6"/>
      <c r="D40" s="7"/>
      <c r="E40" s="7"/>
      <c r="F40" s="7"/>
      <c r="G40" s="7"/>
      <c r="H40" s="7"/>
      <c r="I40" s="7"/>
      <c r="J40" s="7"/>
      <c r="K40" s="7"/>
      <c r="L40" s="6"/>
      <c r="M40" s="6">
        <f>SUM(M37:M39)</f>
        <v>31464705</v>
      </c>
      <c r="N40" s="3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5" t="s">
        <v>10</v>
      </c>
      <c r="B41" s="5" t="s">
        <v>40</v>
      </c>
      <c r="C41" s="16"/>
      <c r="D41" s="7"/>
      <c r="E41" s="7"/>
      <c r="F41" s="7"/>
      <c r="G41" s="7"/>
      <c r="H41" s="7"/>
      <c r="I41" s="7"/>
      <c r="J41" s="7"/>
      <c r="K41" s="7"/>
      <c r="L41" s="10"/>
      <c r="M41" s="10">
        <f>M40/M34</f>
        <v>3.33347289589912E-2</v>
      </c>
      <c r="N41" s="3"/>
      <c r="O41" s="3" t="s">
        <v>74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5" t="s">
        <v>8</v>
      </c>
      <c r="B42" s="5" t="s">
        <v>37</v>
      </c>
      <c r="C42" s="8"/>
      <c r="D42" s="7"/>
      <c r="E42" s="7"/>
      <c r="F42" s="7"/>
      <c r="G42" s="7"/>
      <c r="H42" s="7"/>
      <c r="I42" s="7"/>
      <c r="J42" s="7"/>
      <c r="K42" s="7"/>
      <c r="L42" s="17"/>
      <c r="M42" s="17">
        <v>0.14499999999999999</v>
      </c>
      <c r="N42" s="3" t="s">
        <v>94</v>
      </c>
      <c r="O42" s="3" t="s">
        <v>74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4" t="s">
        <v>8</v>
      </c>
      <c r="B43" s="5" t="s">
        <v>7</v>
      </c>
      <c r="C43" s="6"/>
      <c r="D43" s="7"/>
      <c r="E43" s="7"/>
      <c r="F43" s="7"/>
      <c r="G43" s="7"/>
      <c r="H43" s="7"/>
      <c r="I43" s="7"/>
      <c r="J43" s="7"/>
      <c r="K43" s="7"/>
      <c r="L43" s="6">
        <v>923847637</v>
      </c>
      <c r="M43" s="6">
        <v>1260149596</v>
      </c>
      <c r="N43" s="24" t="s">
        <v>6</v>
      </c>
      <c r="O43" s="3" t="s">
        <v>74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5" t="s">
        <v>8</v>
      </c>
      <c r="B44" s="5" t="s">
        <v>23</v>
      </c>
      <c r="C44" s="6"/>
      <c r="D44" s="7"/>
      <c r="E44" s="7"/>
      <c r="F44" s="7"/>
      <c r="G44" s="7"/>
      <c r="H44" s="7"/>
      <c r="I44" s="7"/>
      <c r="J44" s="7"/>
      <c r="K44" s="7"/>
      <c r="L44" s="6"/>
      <c r="M44" s="6">
        <v>44532621</v>
      </c>
      <c r="N44" s="24" t="s">
        <v>22</v>
      </c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5" t="s">
        <v>8</v>
      </c>
      <c r="B45" s="5" t="s">
        <v>24</v>
      </c>
      <c r="C45" s="6"/>
      <c r="D45" s="7"/>
      <c r="E45" s="7"/>
      <c r="F45" s="7"/>
      <c r="G45" s="7"/>
      <c r="H45" s="7"/>
      <c r="I45" s="7"/>
      <c r="J45" s="7"/>
      <c r="K45" s="7"/>
      <c r="L45" s="6">
        <v>-7935832</v>
      </c>
      <c r="M45" s="6">
        <v>-3968172</v>
      </c>
      <c r="N45" s="24" t="s">
        <v>22</v>
      </c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5" t="s">
        <v>8</v>
      </c>
      <c r="B46" s="5" t="s">
        <v>102</v>
      </c>
      <c r="C46" s="6"/>
      <c r="D46" s="7"/>
      <c r="E46" s="7"/>
      <c r="F46" s="7"/>
      <c r="G46" s="7"/>
      <c r="H46" s="7"/>
      <c r="I46" s="7"/>
      <c r="J46" s="7"/>
      <c r="K46" s="7"/>
      <c r="L46" s="6"/>
      <c r="M46" s="6">
        <v>8650600</v>
      </c>
      <c r="N46" s="24" t="s">
        <v>22</v>
      </c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5" t="s">
        <v>10</v>
      </c>
      <c r="B47" s="5" t="s">
        <v>49</v>
      </c>
      <c r="C47" s="8"/>
      <c r="D47" s="7"/>
      <c r="E47" s="7"/>
      <c r="F47" s="7"/>
      <c r="G47" s="7"/>
      <c r="H47" s="7"/>
      <c r="I47" s="7"/>
      <c r="J47" s="7"/>
      <c r="K47" s="7"/>
      <c r="L47" s="10"/>
      <c r="M47" s="10">
        <f>M35/M40</f>
        <v>0.55392132231972302</v>
      </c>
      <c r="N47" s="2"/>
      <c r="O47" s="3" t="s">
        <v>74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4" t="s">
        <v>8</v>
      </c>
      <c r="B48" s="5" t="s">
        <v>16</v>
      </c>
      <c r="C48" s="6"/>
      <c r="D48" s="7"/>
      <c r="E48" s="7"/>
      <c r="F48" s="7"/>
      <c r="G48" s="7"/>
      <c r="H48" s="7"/>
      <c r="I48" s="7"/>
      <c r="J48" s="7"/>
      <c r="K48" s="7"/>
      <c r="L48" s="6"/>
      <c r="M48" s="6">
        <v>1079873967</v>
      </c>
      <c r="N48" s="24" t="s">
        <v>6</v>
      </c>
      <c r="O48" s="3" t="s">
        <v>74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5" t="s">
        <v>8</v>
      </c>
      <c r="B49" s="5" t="s">
        <v>45</v>
      </c>
      <c r="C49" s="6"/>
      <c r="D49" s="7"/>
      <c r="E49" s="7"/>
      <c r="F49" s="7"/>
      <c r="G49" s="7"/>
      <c r="H49" s="7"/>
      <c r="I49" s="7"/>
      <c r="J49" s="7"/>
      <c r="K49" s="7"/>
      <c r="L49" s="14"/>
      <c r="M49" s="14">
        <v>0.14349999999999999</v>
      </c>
      <c r="N49" s="3" t="s">
        <v>94</v>
      </c>
      <c r="O49" s="3" t="s">
        <v>74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5" t="s">
        <v>10</v>
      </c>
      <c r="B50" s="5" t="s">
        <v>103</v>
      </c>
      <c r="C50" s="6"/>
      <c r="D50" s="7"/>
      <c r="E50" s="7"/>
      <c r="F50" s="7"/>
      <c r="G50" s="7"/>
      <c r="H50" s="7"/>
      <c r="I50" s="7"/>
      <c r="J50" s="7"/>
      <c r="K50" s="7"/>
      <c r="L50" s="14"/>
      <c r="M50" s="14">
        <f>ABS(M45)/M26</f>
        <v>0.16540990323856719</v>
      </c>
      <c r="N50" s="3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4" t="s">
        <v>8</v>
      </c>
      <c r="B51" s="5" t="s">
        <v>18</v>
      </c>
      <c r="C51" s="6"/>
      <c r="D51" s="7"/>
      <c r="E51" s="7"/>
      <c r="F51" s="7"/>
      <c r="G51" s="7"/>
      <c r="H51" s="7"/>
      <c r="I51" s="7"/>
      <c r="J51" s="7"/>
      <c r="L51" s="6">
        <v>147275262</v>
      </c>
      <c r="M51" s="6">
        <v>180275629</v>
      </c>
      <c r="N51" s="24" t="s">
        <v>6</v>
      </c>
      <c r="O51" s="3" t="s">
        <v>74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5" t="s">
        <v>10</v>
      </c>
      <c r="B52" s="5" t="s">
        <v>31</v>
      </c>
      <c r="C52" s="6"/>
      <c r="D52" s="7"/>
      <c r="E52" s="7"/>
      <c r="F52" s="7"/>
      <c r="G52" s="7"/>
      <c r="H52" s="7"/>
      <c r="I52" s="7"/>
      <c r="J52" s="7"/>
      <c r="K52" s="7"/>
      <c r="L52" s="19"/>
      <c r="M52" s="19">
        <f>M48/M51</f>
        <v>5.9901273011228824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5" t="s">
        <v>10</v>
      </c>
      <c r="B53" s="5" t="s">
        <v>26</v>
      </c>
      <c r="C53" s="6"/>
      <c r="D53" s="20"/>
      <c r="E53" s="7"/>
      <c r="F53" s="7"/>
      <c r="G53" s="7"/>
      <c r="H53" s="7"/>
      <c r="I53" s="7"/>
      <c r="J53" s="7"/>
      <c r="K53" s="7"/>
      <c r="L53" s="10"/>
      <c r="M53" s="10">
        <f>M26/((M43+L43)/2)</f>
        <v>2.1968828199518144E-2</v>
      </c>
      <c r="N53" s="2"/>
      <c r="O53" s="3" t="s">
        <v>74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5" t="s">
        <v>10</v>
      </c>
      <c r="B54" s="5" t="s">
        <v>35</v>
      </c>
      <c r="C54" s="6"/>
      <c r="D54" s="7"/>
      <c r="E54" s="7"/>
      <c r="F54" s="7"/>
      <c r="G54" s="7"/>
      <c r="H54" s="7"/>
      <c r="I54" s="7"/>
      <c r="J54" s="7"/>
      <c r="K54" s="7"/>
      <c r="L54" s="10"/>
      <c r="M54" s="10">
        <f>M26/((M51+L51)/2)</f>
        <v>0.14648062734166092</v>
      </c>
      <c r="N54" s="13"/>
      <c r="O54" s="3" t="s">
        <v>74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4" t="s">
        <v>8</v>
      </c>
      <c r="B55" s="5" t="s">
        <v>90</v>
      </c>
      <c r="C55" s="6"/>
      <c r="D55" s="7"/>
      <c r="E55" s="7"/>
      <c r="F55" s="7"/>
      <c r="G55" s="7"/>
      <c r="H55" s="7"/>
      <c r="I55" s="7"/>
      <c r="J55" s="7"/>
      <c r="K55" s="7"/>
      <c r="L55" s="6">
        <v>-59296</v>
      </c>
      <c r="M55" s="6">
        <v>-131095</v>
      </c>
      <c r="N55" s="24" t="s">
        <v>22</v>
      </c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4" t="s">
        <v>10</v>
      </c>
      <c r="B56" s="5" t="s">
        <v>104</v>
      </c>
      <c r="C56" s="6"/>
      <c r="D56" s="7"/>
      <c r="E56" s="7"/>
      <c r="F56" s="7"/>
      <c r="G56" s="7"/>
      <c r="H56" s="7"/>
      <c r="I56" s="7"/>
      <c r="J56" s="7"/>
      <c r="K56" s="7"/>
      <c r="L56" s="7"/>
      <c r="M56" s="6">
        <f>ABS(M55)-M32</f>
        <v>-418493</v>
      </c>
      <c r="N56" s="3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5" t="s">
        <v>10</v>
      </c>
      <c r="B57" s="5" t="s">
        <v>56</v>
      </c>
      <c r="C57" s="6"/>
      <c r="D57" s="7"/>
      <c r="E57" s="7"/>
      <c r="F57" s="7"/>
      <c r="G57" s="7"/>
      <c r="H57" s="7"/>
      <c r="I57" s="7"/>
      <c r="J57" s="7"/>
      <c r="K57" s="7"/>
      <c r="L57" s="7"/>
      <c r="M57" s="6">
        <f>M44/(ABS(M32)+ABS(M45))</f>
        <v>9.8572347800679978</v>
      </c>
      <c r="N57" s="3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5" t="s">
        <v>8</v>
      </c>
      <c r="B58" s="5" t="s">
        <v>53</v>
      </c>
      <c r="C58" s="6"/>
      <c r="D58" s="7"/>
      <c r="E58" s="7"/>
      <c r="F58" s="7"/>
      <c r="G58" s="7"/>
      <c r="H58" s="7"/>
      <c r="I58" s="7"/>
      <c r="J58" s="7"/>
      <c r="K58" s="7"/>
      <c r="L58" s="7"/>
      <c r="M58" s="4">
        <v>8.8000000000000007</v>
      </c>
      <c r="N58" s="3"/>
      <c r="O58" s="3" t="s">
        <v>74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5" t="s">
        <v>8</v>
      </c>
      <c r="B59" s="5" t="s">
        <v>54</v>
      </c>
      <c r="C59" s="6"/>
      <c r="D59" s="7"/>
      <c r="E59" s="7"/>
      <c r="F59" s="7"/>
      <c r="G59" s="7"/>
      <c r="H59" s="7"/>
      <c r="I59" s="7"/>
      <c r="J59" s="7"/>
      <c r="K59" s="7"/>
      <c r="L59" s="7"/>
      <c r="M59" s="4">
        <v>1.25</v>
      </c>
      <c r="N59" s="3"/>
      <c r="O59" s="3" t="s">
        <v>74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5" t="s">
        <v>10</v>
      </c>
      <c r="B60" s="5" t="s">
        <v>57</v>
      </c>
      <c r="C60" s="6"/>
      <c r="D60" s="7"/>
      <c r="E60" s="7"/>
      <c r="F60" s="7"/>
      <c r="G60" s="7"/>
      <c r="H60" s="7"/>
      <c r="I60" s="7"/>
      <c r="J60" s="7"/>
      <c r="K60" s="7"/>
      <c r="L60" s="8">
        <f t="shared" ref="L60:M60" si="3">L26+L32-ABS(L55)</f>
        <v>16231140</v>
      </c>
      <c r="M60" s="8">
        <f t="shared" si="3"/>
        <v>24408423</v>
      </c>
      <c r="N60" s="3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5" t="s">
        <v>10</v>
      </c>
      <c r="B61" s="5" t="s">
        <v>58</v>
      </c>
      <c r="C61" s="6"/>
      <c r="D61" s="7"/>
      <c r="E61" s="7"/>
      <c r="F61" s="7"/>
      <c r="G61" s="7"/>
      <c r="H61" s="7"/>
      <c r="I61" s="7"/>
      <c r="J61" s="7"/>
      <c r="K61" s="7"/>
      <c r="L61" s="7"/>
      <c r="M61" s="10">
        <f>(M60-L60)/L60</f>
        <v>0.50380213589433642</v>
      </c>
      <c r="N61" s="3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9"/>
      <c r="C62" s="1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9"/>
      <c r="C63" s="11"/>
      <c r="D63" s="2"/>
      <c r="E63" s="2"/>
      <c r="F63" s="2"/>
      <c r="G63" s="2"/>
      <c r="H63" s="3"/>
      <c r="I63" s="3"/>
      <c r="J63" s="3"/>
      <c r="K63" s="3"/>
      <c r="L63" s="3"/>
      <c r="M63" s="3"/>
      <c r="N63" s="3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9"/>
      <c r="C64" s="11"/>
      <c r="D64" s="2"/>
      <c r="E64" s="2"/>
      <c r="F64" s="2"/>
      <c r="G64" s="2"/>
      <c r="H64" s="2"/>
      <c r="I64" s="2"/>
      <c r="J64" s="2"/>
      <c r="K64" s="3"/>
      <c r="L64" s="2"/>
      <c r="M64" s="2"/>
      <c r="N64" s="3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9"/>
      <c r="C65" s="11"/>
      <c r="D65" s="2"/>
      <c r="E65" s="2"/>
      <c r="F65" s="2"/>
      <c r="G65" s="2"/>
      <c r="H65" s="2"/>
      <c r="I65" s="2"/>
      <c r="J65" s="2"/>
      <c r="K65" s="2"/>
      <c r="L65" s="2"/>
      <c r="M65" s="2"/>
      <c r="N65" s="3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9"/>
      <c r="C66" s="1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9"/>
      <c r="C67" s="1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1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1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11"/>
      <c r="D70" s="2"/>
      <c r="E70" s="2"/>
      <c r="F70" s="2"/>
      <c r="G70" s="2"/>
      <c r="H70" s="2"/>
      <c r="I70" s="2"/>
      <c r="J70" s="2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11"/>
      <c r="D71" s="2"/>
      <c r="E71" s="2"/>
      <c r="F71" s="2"/>
      <c r="G71" s="2"/>
      <c r="H71" s="2"/>
      <c r="I71" s="2"/>
      <c r="J71" s="21"/>
      <c r="K71" s="2"/>
      <c r="L71" s="13"/>
      <c r="M71" s="1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11"/>
      <c r="D72" s="2"/>
      <c r="E72" s="2"/>
      <c r="F72" s="2"/>
      <c r="G72" s="2"/>
      <c r="H72" s="2"/>
      <c r="I72" s="2"/>
      <c r="J72" s="21"/>
      <c r="K72" s="2"/>
      <c r="L72" s="13"/>
      <c r="M72" s="1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11"/>
      <c r="D73" s="2"/>
      <c r="E73" s="2"/>
      <c r="F73" s="2"/>
      <c r="G73" s="2"/>
      <c r="H73" s="2"/>
      <c r="I73" s="2"/>
      <c r="J73" s="21"/>
      <c r="K73" s="2"/>
      <c r="L73" s="13"/>
      <c r="M73" s="1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11"/>
      <c r="D74" s="2"/>
      <c r="E74" s="2"/>
      <c r="F74" s="2"/>
      <c r="G74" s="2"/>
      <c r="H74" s="2"/>
      <c r="I74" s="2"/>
      <c r="J74" s="21"/>
      <c r="K74" s="2"/>
      <c r="L74" s="13"/>
      <c r="M74" s="1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11"/>
      <c r="D75" s="2"/>
      <c r="E75" s="2"/>
      <c r="F75" s="2"/>
      <c r="G75" s="2"/>
      <c r="H75" s="2"/>
      <c r="I75" s="2"/>
      <c r="J75" s="21"/>
      <c r="K75" s="2"/>
      <c r="L75" s="13"/>
      <c r="M75" s="1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11"/>
      <c r="D76" s="2"/>
      <c r="E76" s="2"/>
      <c r="F76" s="2"/>
      <c r="G76" s="2"/>
      <c r="H76" s="2"/>
      <c r="I76" s="2"/>
      <c r="J76" s="2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11"/>
      <c r="D77" s="2"/>
      <c r="E77" s="2"/>
      <c r="F77" s="2"/>
      <c r="G77" s="2"/>
      <c r="H77" s="2"/>
      <c r="I77" s="3"/>
      <c r="J77" s="2"/>
      <c r="K77" s="2"/>
      <c r="L77" s="1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1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1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11"/>
      <c r="D80" s="2"/>
      <c r="E80" s="2"/>
      <c r="F80" s="2"/>
      <c r="G80" s="2"/>
      <c r="H80" s="2"/>
      <c r="I80" s="2"/>
      <c r="J80" s="3"/>
      <c r="K80" s="2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11"/>
      <c r="D81" s="2"/>
      <c r="E81" s="2"/>
      <c r="F81" s="2"/>
      <c r="G81" s="2"/>
      <c r="H81" s="2"/>
      <c r="I81" s="2"/>
      <c r="J81" s="3"/>
      <c r="K81" s="2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1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1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1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1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1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1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1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1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1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1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1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1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1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1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1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1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1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1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1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1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1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1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1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1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1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1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1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1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1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1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1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1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1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1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1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1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1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1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1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1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1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1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1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1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1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1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1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1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1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1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1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1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1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1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1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1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1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1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1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1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1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1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1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1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1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1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1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1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1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1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1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1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1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1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1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1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1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1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1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1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1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1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1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1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1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1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1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1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1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1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1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1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1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1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1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1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1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1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1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1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1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1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1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1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1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1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1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1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1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1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1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1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1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1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1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1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1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1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1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1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1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1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1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1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1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1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1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1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1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1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1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1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1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1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1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1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1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1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1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1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1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1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1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1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1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1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1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1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1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1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1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1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1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1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1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1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1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1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1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1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1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1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1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1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1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1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1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1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1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1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1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1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1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1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1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1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1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1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1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1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1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1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1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1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1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1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1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1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1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1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1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1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1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1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1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1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1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1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1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1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1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1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1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1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1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1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1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1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1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1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1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1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1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1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1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1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1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1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1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1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1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1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1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1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1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1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1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1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1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1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1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1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1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1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1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1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1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1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1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1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1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1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1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1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1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1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1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1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1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1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1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1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1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1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1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1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1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1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1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1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1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1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1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1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1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1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1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1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1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1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1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1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1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1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1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1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1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1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1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1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1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1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1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1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1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1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1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1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1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1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1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1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1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1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1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1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1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1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1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1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1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1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1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1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1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1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1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1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1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1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1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1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1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1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1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1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1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1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1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1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1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1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1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1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1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1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1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1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1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1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1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1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1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1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1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1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1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1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1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1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1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1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1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1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1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1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1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1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1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1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1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1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1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1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1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1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1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1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1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1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1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1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1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1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1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1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1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1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1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1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1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1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1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1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1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1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1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1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1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1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1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1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1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1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1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1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1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1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1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1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1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1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1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1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1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1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1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1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1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1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1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1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1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1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1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1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1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1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1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1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1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1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1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1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1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1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1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1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1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1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1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1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1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1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1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1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1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1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1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1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1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1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1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1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1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1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1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1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1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1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1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1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1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1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1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1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1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1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1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1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1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1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1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1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1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1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1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1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1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1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1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1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1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1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1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1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1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1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1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1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1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1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1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1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1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1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1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1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1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1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1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1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1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1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1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1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1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1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1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1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1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1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1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1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1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1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1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1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1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1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1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1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1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1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1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1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1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1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1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1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1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1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1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1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1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1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1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1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1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1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1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1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1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1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1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1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1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1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1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1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1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1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1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1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1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1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1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1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1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1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1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1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1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1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1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1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1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1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1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1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1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1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1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1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1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1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1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1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1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1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1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1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1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1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1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1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1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1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1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1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1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1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1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1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1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1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1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1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1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1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1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1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1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1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1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1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1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1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1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1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1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1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1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1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1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1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1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1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1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1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1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1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1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1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1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1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1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1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1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1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1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1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1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1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1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1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1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1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1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1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1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1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1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1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1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1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1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1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1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1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1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1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1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1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1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1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1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1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1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1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1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1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1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1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1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1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1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1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1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1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1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1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1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1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1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1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1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1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1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1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1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1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1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1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1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1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1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1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1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1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1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1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1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1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1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1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1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1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1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1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1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1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1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1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1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1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1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1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1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1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1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1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1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1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1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1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1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1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1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1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1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1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1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1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1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1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1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1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1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1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1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1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1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1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1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1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1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1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1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1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1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1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1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1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1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1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1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1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1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1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1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1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1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1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1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1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1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1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1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1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1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1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1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1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1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1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1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1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1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1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1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1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1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1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1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1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1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1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1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1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1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1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1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1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1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1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1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1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1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1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1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1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1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1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1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1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1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1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1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1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1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1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1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1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1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1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1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1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1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1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1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1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1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1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1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1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1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1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1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1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1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1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1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1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1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1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1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1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1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1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1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1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1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1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1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1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1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1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1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1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1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1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1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1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1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1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1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1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1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1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1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1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1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1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1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1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1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1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1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1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1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1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1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1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1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1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1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1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1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1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1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1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1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1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1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1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1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1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1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1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1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1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1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1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1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1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1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1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1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1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1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1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1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1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1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1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1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1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1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1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1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1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1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1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1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1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1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1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1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1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1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1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1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1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1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1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1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1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1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1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1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1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1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1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1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1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1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autoFilter ref="A1:Z988" xr:uid="{00000000-0009-0000-0000-000007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H995"/>
  <sheetViews>
    <sheetView workbookViewId="0">
      <pane xSplit="3" topLeftCell="D1" activePane="topRight" state="frozen"/>
      <selection pane="topRight" activeCell="E2" sqref="E2"/>
    </sheetView>
  </sheetViews>
  <sheetFormatPr defaultColWidth="12.5703125" defaultRowHeight="15.75" customHeight="1"/>
  <cols>
    <col min="3" max="3" width="35.7109375" customWidth="1"/>
  </cols>
  <sheetData>
    <row r="1" spans="1:34">
      <c r="A1" s="26" t="s">
        <v>0</v>
      </c>
      <c r="B1" s="26" t="s">
        <v>3</v>
      </c>
      <c r="C1" s="26" t="s">
        <v>4</v>
      </c>
      <c r="D1" s="26">
        <v>2015</v>
      </c>
      <c r="E1" s="26">
        <v>2016</v>
      </c>
      <c r="F1" s="26">
        <v>2017</v>
      </c>
      <c r="G1" s="26">
        <v>2018</v>
      </c>
      <c r="H1" s="26">
        <v>2019</v>
      </c>
      <c r="I1" s="26">
        <v>2020</v>
      </c>
      <c r="J1" s="26">
        <v>2021</v>
      </c>
      <c r="K1" s="26">
        <v>2022</v>
      </c>
      <c r="L1" s="26">
        <v>2023</v>
      </c>
      <c r="M1" s="26">
        <v>2024</v>
      </c>
      <c r="N1" s="26">
        <v>2025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</row>
    <row r="2" spans="1:34">
      <c r="A2" s="27" t="s">
        <v>2</v>
      </c>
      <c r="B2" s="28" t="s">
        <v>6</v>
      </c>
      <c r="C2" s="28" t="s">
        <v>76</v>
      </c>
      <c r="D2" s="29">
        <v>116804247</v>
      </c>
      <c r="E2" s="29">
        <v>144673213</v>
      </c>
      <c r="F2" s="29">
        <v>182666213</v>
      </c>
      <c r="G2" s="29">
        <v>221961996</v>
      </c>
      <c r="H2" s="29">
        <v>257183959</v>
      </c>
      <c r="I2" s="29">
        <v>290816086</v>
      </c>
      <c r="J2" s="29">
        <v>355281219</v>
      </c>
      <c r="K2" s="29">
        <v>438338047</v>
      </c>
      <c r="L2" s="29">
        <v>566271290</v>
      </c>
      <c r="M2" s="29">
        <v>697771123</v>
      </c>
      <c r="N2" s="29">
        <v>943901630</v>
      </c>
      <c r="O2" s="29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</row>
    <row r="3" spans="1:34">
      <c r="A3" s="27" t="s">
        <v>2</v>
      </c>
      <c r="B3" s="28" t="s">
        <v>6</v>
      </c>
      <c r="C3" s="28" t="s">
        <v>78</v>
      </c>
      <c r="D3" s="29">
        <v>1741774</v>
      </c>
      <c r="E3" s="29">
        <v>2089962</v>
      </c>
      <c r="F3" s="29">
        <v>3147404</v>
      </c>
      <c r="G3" s="29">
        <v>3566773</v>
      </c>
      <c r="H3" s="29">
        <v>4084094</v>
      </c>
      <c r="I3" s="29">
        <v>4496684</v>
      </c>
      <c r="J3" s="29">
        <v>9890937</v>
      </c>
      <c r="K3" s="29">
        <v>13675665</v>
      </c>
      <c r="L3" s="29">
        <v>14799224</v>
      </c>
      <c r="M3" s="29">
        <v>16366955</v>
      </c>
      <c r="N3" s="29">
        <v>17428971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</row>
    <row r="4" spans="1:34">
      <c r="A4" s="27" t="s">
        <v>2</v>
      </c>
      <c r="B4" s="28" t="s">
        <v>6</v>
      </c>
      <c r="C4" s="28" t="s">
        <v>7</v>
      </c>
      <c r="D4" s="29">
        <v>193876428</v>
      </c>
      <c r="E4" s="29">
        <v>228770918</v>
      </c>
      <c r="F4" s="29">
        <v>277752314</v>
      </c>
      <c r="G4" s="29">
        <v>323291119</v>
      </c>
      <c r="H4" s="29">
        <v>377204126</v>
      </c>
      <c r="I4" s="29">
        <v>419026527</v>
      </c>
      <c r="J4" s="29">
        <v>547409439</v>
      </c>
      <c r="K4" s="29">
        <v>631012886</v>
      </c>
      <c r="L4" s="29">
        <v>817566922</v>
      </c>
      <c r="M4" s="29">
        <v>923847637</v>
      </c>
      <c r="N4" s="29">
        <v>1260149596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</row>
    <row r="5" spans="1:34">
      <c r="A5" s="27" t="s">
        <v>2</v>
      </c>
      <c r="B5" s="28" t="s">
        <v>6</v>
      </c>
      <c r="C5" s="28" t="s">
        <v>16</v>
      </c>
      <c r="D5" s="29">
        <v>180487506</v>
      </c>
      <c r="E5" s="29">
        <v>211593390</v>
      </c>
      <c r="F5" s="29">
        <v>248056604</v>
      </c>
      <c r="G5" s="29">
        <v>288541050</v>
      </c>
      <c r="H5" s="29">
        <v>334994384</v>
      </c>
      <c r="I5" s="29">
        <v>366233025</v>
      </c>
      <c r="J5" s="29">
        <v>461131292</v>
      </c>
      <c r="K5" s="29">
        <v>527510966</v>
      </c>
      <c r="L5" s="29">
        <v>677771395</v>
      </c>
      <c r="M5" s="29">
        <v>776572375</v>
      </c>
      <c r="N5" s="29">
        <v>1079873967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</row>
    <row r="6" spans="1:34">
      <c r="A6" s="27" t="s">
        <v>2</v>
      </c>
      <c r="B6" s="28" t="s">
        <v>6</v>
      </c>
      <c r="C6" s="28" t="s">
        <v>18</v>
      </c>
      <c r="D6" s="29">
        <v>13388922</v>
      </c>
      <c r="E6" s="29">
        <v>17177528</v>
      </c>
      <c r="F6" s="29">
        <v>29695710</v>
      </c>
      <c r="G6" s="29">
        <v>34750069</v>
      </c>
      <c r="H6" s="29">
        <v>42209742</v>
      </c>
      <c r="I6" s="29">
        <v>52793502</v>
      </c>
      <c r="J6" s="29">
        <v>86278147</v>
      </c>
      <c r="K6" s="29">
        <v>103501920</v>
      </c>
      <c r="L6" s="29">
        <v>139795527</v>
      </c>
      <c r="M6" s="29">
        <v>147275262</v>
      </c>
      <c r="N6" s="29">
        <v>180275629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</row>
    <row r="7" spans="1:34">
      <c r="A7" s="27" t="s">
        <v>2</v>
      </c>
      <c r="B7" s="28" t="s">
        <v>33</v>
      </c>
      <c r="C7" s="28" t="s">
        <v>72</v>
      </c>
      <c r="D7" s="29">
        <v>12066311</v>
      </c>
      <c r="E7" s="29">
        <v>16863757</v>
      </c>
      <c r="F7" s="29">
        <v>24889376</v>
      </c>
      <c r="G7" s="29">
        <v>31085663</v>
      </c>
      <c r="H7" s="29">
        <f>30670461+2791620-216879+284845+803159+2019665+2634</f>
        <v>36355505</v>
      </c>
      <c r="I7" s="29">
        <f>32345823+3356127+226466+1170731+2236161+5013-307207</f>
        <v>39033114</v>
      </c>
      <c r="J7" s="29">
        <v>44301475</v>
      </c>
      <c r="K7" s="29">
        <v>57797089</v>
      </c>
      <c r="L7" s="29">
        <v>49739488</v>
      </c>
      <c r="M7" s="29">
        <v>62255056</v>
      </c>
      <c r="N7" s="29">
        <v>74653817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>
      <c r="A8" s="27" t="s">
        <v>2</v>
      </c>
      <c r="B8" s="28" t="s">
        <v>33</v>
      </c>
      <c r="C8" s="28" t="s">
        <v>17</v>
      </c>
      <c r="D8" s="29">
        <v>5692469</v>
      </c>
      <c r="E8" s="29">
        <v>6621352</v>
      </c>
      <c r="F8" s="29">
        <v>8758255</v>
      </c>
      <c r="G8" s="29">
        <v>10633924</v>
      </c>
      <c r="H8" s="29">
        <v>12343718</v>
      </c>
      <c r="I8" s="29">
        <v>11392021</v>
      </c>
      <c r="J8" s="29">
        <v>10718937</v>
      </c>
      <c r="K8" s="29">
        <v>14115731</v>
      </c>
      <c r="L8" s="29">
        <v>13941218</v>
      </c>
      <c r="M8" s="29">
        <v>14339732</v>
      </c>
      <c r="N8" s="29">
        <v>18630319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</row>
    <row r="9" spans="1:34">
      <c r="A9" s="27" t="s">
        <v>2</v>
      </c>
      <c r="B9" s="28" t="s">
        <v>33</v>
      </c>
      <c r="C9" s="28" t="s">
        <v>79</v>
      </c>
      <c r="D9" s="29">
        <v>3277640</v>
      </c>
      <c r="E9" s="29">
        <v>5313094</v>
      </c>
      <c r="F9" s="29">
        <v>8001058</v>
      </c>
      <c r="G9" s="29">
        <v>11253231</v>
      </c>
      <c r="H9" s="29">
        <v>13687626</v>
      </c>
      <c r="I9" s="29">
        <v>14621638</v>
      </c>
      <c r="J9" s="29">
        <v>19218768</v>
      </c>
      <c r="K9" s="29">
        <v>22461226</v>
      </c>
      <c r="L9" s="29">
        <v>24994374</v>
      </c>
      <c r="M9" s="29">
        <v>27902624</v>
      </c>
      <c r="N9" s="29">
        <v>25398549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</row>
    <row r="10" spans="1:34">
      <c r="A10" s="27" t="s">
        <v>2</v>
      </c>
      <c r="B10" s="28" t="s">
        <v>33</v>
      </c>
      <c r="C10" s="28" t="s">
        <v>81</v>
      </c>
      <c r="D10" s="29">
        <v>2395868</v>
      </c>
      <c r="E10" s="29">
        <v>3935045</v>
      </c>
      <c r="F10" s="29">
        <v>6440767</v>
      </c>
      <c r="G10" s="29">
        <v>7355568</v>
      </c>
      <c r="H10" s="29">
        <v>8260263</v>
      </c>
      <c r="I10" s="29">
        <v>10413760</v>
      </c>
      <c r="J10" s="29">
        <v>11477170</v>
      </c>
      <c r="K10" s="29">
        <v>16908807</v>
      </c>
      <c r="L10" s="29">
        <v>8494171</v>
      </c>
      <c r="M10" s="29">
        <v>15986826</v>
      </c>
      <c r="N10" s="29">
        <v>24354596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</row>
    <row r="11" spans="1:34">
      <c r="A11" s="27" t="s">
        <v>2</v>
      </c>
      <c r="B11" s="28" t="s">
        <v>33</v>
      </c>
      <c r="C11" s="28" t="s">
        <v>86</v>
      </c>
      <c r="D11" s="29">
        <v>2395868</v>
      </c>
      <c r="E11" s="29">
        <v>3935045</v>
      </c>
      <c r="F11" s="29">
        <v>6440767</v>
      </c>
      <c r="G11" s="29">
        <v>7355568</v>
      </c>
      <c r="H11" s="29">
        <v>8260263</v>
      </c>
      <c r="I11" s="29">
        <v>10413760</v>
      </c>
      <c r="J11" s="29">
        <v>11721208</v>
      </c>
      <c r="K11" s="29">
        <v>18167968</v>
      </c>
      <c r="L11" s="29">
        <v>9973939</v>
      </c>
      <c r="M11" s="29">
        <v>15778795</v>
      </c>
      <c r="N11" s="29">
        <v>23989930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</row>
    <row r="12" spans="1:34">
      <c r="A12" s="27" t="s">
        <v>2</v>
      </c>
      <c r="B12" s="28" t="s">
        <v>33</v>
      </c>
      <c r="C12" s="28" t="s">
        <v>84</v>
      </c>
      <c r="D12" s="29">
        <v>2662</v>
      </c>
      <c r="E12" s="29">
        <v>2843</v>
      </c>
      <c r="F12" s="29">
        <v>2820</v>
      </c>
      <c r="G12" s="29">
        <v>3025</v>
      </c>
      <c r="H12" s="29">
        <v>3376</v>
      </c>
      <c r="I12" s="29">
        <v>2373</v>
      </c>
      <c r="J12" s="29">
        <v>1764</v>
      </c>
      <c r="K12" s="29">
        <v>2718</v>
      </c>
      <c r="L12" s="29">
        <v>1433</v>
      </c>
      <c r="M12" s="29">
        <v>1989</v>
      </c>
      <c r="N12" s="29">
        <v>3024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</row>
    <row r="13" spans="1:34">
      <c r="A13" s="27" t="s">
        <v>2</v>
      </c>
      <c r="B13" s="3" t="s">
        <v>22</v>
      </c>
      <c r="C13" s="28" t="s">
        <v>88</v>
      </c>
      <c r="D13" s="21">
        <v>1178387</v>
      </c>
      <c r="E13" s="21">
        <f>-6423441</f>
        <v>-6423441</v>
      </c>
      <c r="F13" s="21">
        <v>9215782</v>
      </c>
      <c r="G13" s="21">
        <v>8686319</v>
      </c>
      <c r="H13" s="21">
        <v>-3167365</v>
      </c>
      <c r="I13" s="21">
        <v>1319553</v>
      </c>
      <c r="J13" s="21">
        <v>5115790</v>
      </c>
      <c r="K13" s="21">
        <v>692537</v>
      </c>
      <c r="L13" s="21">
        <v>11459579</v>
      </c>
      <c r="M13" s="21">
        <v>57316185</v>
      </c>
      <c r="N13" s="21">
        <v>44532621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</row>
    <row r="14" spans="1:34">
      <c r="A14" s="27" t="s">
        <v>2</v>
      </c>
      <c r="B14" s="3" t="s">
        <v>22</v>
      </c>
      <c r="C14" s="28" t="s">
        <v>90</v>
      </c>
      <c r="D14" s="21">
        <v>222114</v>
      </c>
      <c r="E14" s="21">
        <v>188473</v>
      </c>
      <c r="F14" s="21">
        <v>214416</v>
      </c>
      <c r="G14" s="21">
        <v>118535</v>
      </c>
      <c r="H14" s="21">
        <v>48222</v>
      </c>
      <c r="I14" s="21">
        <v>25534</v>
      </c>
      <c r="J14" s="21">
        <v>39377</v>
      </c>
      <c r="K14" s="21">
        <v>105899</v>
      </c>
      <c r="L14" s="21">
        <v>107210</v>
      </c>
      <c r="M14" s="21">
        <v>59296</v>
      </c>
      <c r="N14" s="21">
        <v>131095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</row>
    <row r="15" spans="1:34">
      <c r="A15" s="27" t="s">
        <v>2</v>
      </c>
      <c r="B15" s="3" t="s">
        <v>22</v>
      </c>
      <c r="C15" s="28" t="s">
        <v>91</v>
      </c>
      <c r="D15" s="21">
        <v>2019690</v>
      </c>
      <c r="E15" s="21">
        <v>2730521</v>
      </c>
      <c r="F15" s="21">
        <v>6077947</v>
      </c>
      <c r="G15" s="21">
        <v>-4801209</v>
      </c>
      <c r="H15" s="21">
        <v>-3415590</v>
      </c>
      <c r="I15" s="21">
        <v>170000</v>
      </c>
      <c r="J15" s="21">
        <v>-111960</v>
      </c>
      <c r="K15" s="21">
        <v>300000</v>
      </c>
      <c r="L15" s="21">
        <v>28265818</v>
      </c>
      <c r="M15" s="21">
        <v>7935832</v>
      </c>
      <c r="N15" s="21">
        <v>8650600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</row>
    <row r="16" spans="1:34">
      <c r="A16" s="27" t="s">
        <v>2</v>
      </c>
      <c r="B16" s="28" t="s">
        <v>42</v>
      </c>
      <c r="C16" s="28" t="s">
        <v>93</v>
      </c>
      <c r="D16" s="29">
        <v>1268015</v>
      </c>
      <c r="E16" s="29">
        <v>2335222</v>
      </c>
      <c r="F16" s="29">
        <v>3166441</v>
      </c>
      <c r="G16" s="29">
        <v>4217034</v>
      </c>
      <c r="H16" s="29">
        <v>5447770</v>
      </c>
      <c r="I16" s="29">
        <v>6024814</v>
      </c>
      <c r="J16" s="29">
        <v>6662218</v>
      </c>
      <c r="K16" s="29">
        <v>7945484</v>
      </c>
      <c r="L16" s="29">
        <v>12074224</v>
      </c>
      <c r="M16" s="29">
        <v>10852509</v>
      </c>
      <c r="N16" s="29">
        <v>11429858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</row>
    <row r="17" spans="1:34">
      <c r="A17" s="27" t="s">
        <v>2</v>
      </c>
      <c r="B17" s="28" t="s">
        <v>42</v>
      </c>
      <c r="C17" s="28" t="s">
        <v>95</v>
      </c>
      <c r="D17" s="29">
        <v>523016</v>
      </c>
      <c r="E17" s="29">
        <v>975528</v>
      </c>
      <c r="F17" s="29">
        <v>1966441</v>
      </c>
      <c r="G17" s="29">
        <v>1691989</v>
      </c>
      <c r="H17" s="29">
        <v>1311426</v>
      </c>
      <c r="I17" s="29">
        <v>1823719</v>
      </c>
      <c r="J17" s="29">
        <v>7535242</v>
      </c>
      <c r="K17" s="29">
        <v>10031492</v>
      </c>
      <c r="L17" s="29">
        <v>11990997</v>
      </c>
      <c r="M17" s="29">
        <v>12098440</v>
      </c>
      <c r="N17" s="29">
        <v>10879958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</row>
    <row r="18" spans="1:34">
      <c r="A18" s="27" t="s">
        <v>2</v>
      </c>
      <c r="B18" s="28" t="s">
        <v>42</v>
      </c>
      <c r="C18" s="28" t="s">
        <v>96</v>
      </c>
      <c r="D18" s="29">
        <v>1354014</v>
      </c>
      <c r="E18" s="29">
        <v>896303</v>
      </c>
      <c r="F18" s="29">
        <v>1067140</v>
      </c>
      <c r="G18" s="29">
        <v>1857242</v>
      </c>
      <c r="H18" s="29">
        <v>2038348</v>
      </c>
      <c r="I18" s="29">
        <v>2075655</v>
      </c>
      <c r="J18" s="29">
        <v>2046703</v>
      </c>
      <c r="K18" s="29">
        <v>7160158</v>
      </c>
      <c r="L18" s="29">
        <v>4362633</v>
      </c>
      <c r="M18" s="29">
        <v>6119216</v>
      </c>
      <c r="N18" s="29">
        <v>9154889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</row>
    <row r="19" spans="1:34">
      <c r="A19" s="27" t="s">
        <v>2</v>
      </c>
      <c r="B19" s="28" t="s">
        <v>42</v>
      </c>
      <c r="C19" s="28" t="s">
        <v>85</v>
      </c>
      <c r="D19" s="29">
        <f t="shared" ref="D19:H19" si="0">0</f>
        <v>0</v>
      </c>
      <c r="E19" s="29">
        <f t="shared" si="0"/>
        <v>0</v>
      </c>
      <c r="F19" s="29">
        <f t="shared" si="0"/>
        <v>0</v>
      </c>
      <c r="G19" s="29">
        <f t="shared" si="0"/>
        <v>0</v>
      </c>
      <c r="H19" s="29">
        <f t="shared" si="0"/>
        <v>0</v>
      </c>
      <c r="I19" s="29">
        <v>0</v>
      </c>
      <c r="J19" s="29">
        <v>0</v>
      </c>
      <c r="K19" s="29">
        <v>0</v>
      </c>
      <c r="L19" s="29">
        <v>591272</v>
      </c>
      <c r="M19" s="29">
        <v>928944</v>
      </c>
      <c r="N19" s="29">
        <v>1275072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</row>
    <row r="20" spans="1:34">
      <c r="A20" s="27" t="s">
        <v>2</v>
      </c>
      <c r="B20" s="28" t="s">
        <v>42</v>
      </c>
      <c r="C20" s="28" t="s">
        <v>89</v>
      </c>
      <c r="D20" s="29">
        <v>144532</v>
      </c>
      <c r="E20" s="29">
        <v>177433</v>
      </c>
      <c r="F20" s="29">
        <v>244832</v>
      </c>
      <c r="G20" s="29">
        <v>313939</v>
      </c>
      <c r="H20" s="29">
        <v>373782</v>
      </c>
      <c r="I20" s="29">
        <v>380432</v>
      </c>
      <c r="J20" s="29">
        <v>379228</v>
      </c>
      <c r="K20" s="29">
        <v>366377</v>
      </c>
      <c r="L20" s="29">
        <v>437800</v>
      </c>
      <c r="M20" s="29">
        <v>511641</v>
      </c>
      <c r="N20" s="29">
        <v>549588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</row>
    <row r="21" spans="1:34">
      <c r="A21" s="27" t="s">
        <v>2</v>
      </c>
      <c r="B21" s="28" t="s">
        <v>94</v>
      </c>
      <c r="C21" s="28" t="s">
        <v>98</v>
      </c>
      <c r="D21" s="32">
        <v>4.2999999999999997E-2</v>
      </c>
      <c r="E21" s="32">
        <v>4.8000000000000001E-2</v>
      </c>
      <c r="F21" s="32">
        <v>8.199999999999999E-2</v>
      </c>
      <c r="G21" s="32">
        <v>8.8000000000000009E-2</v>
      </c>
      <c r="H21" s="32">
        <v>8.3000000000000004E-2</v>
      </c>
      <c r="I21" s="32">
        <v>7.8E-2</v>
      </c>
      <c r="J21" s="32">
        <v>7.4999999999999997E-2</v>
      </c>
      <c r="K21" s="32">
        <v>6.8000000000000005E-2</v>
      </c>
      <c r="L21" s="32">
        <v>5.7000000000000002E-2</v>
      </c>
      <c r="M21" s="32">
        <v>5.4000000000000006E-2</v>
      </c>
      <c r="N21" s="33">
        <v>5.4899999999999997E-2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</row>
    <row r="22" spans="1:34">
      <c r="A22" s="27" t="s">
        <v>2</v>
      </c>
      <c r="B22" s="28" t="s">
        <v>94</v>
      </c>
      <c r="C22" s="28" t="s">
        <v>99</v>
      </c>
      <c r="D22" s="32">
        <v>2.7200000000000002E-2</v>
      </c>
      <c r="E22" s="32">
        <v>2.5000000000000001E-2</v>
      </c>
      <c r="F22" s="32">
        <v>3.0099999999999998E-2</v>
      </c>
      <c r="G22" s="32">
        <v>3.5000000000000003E-2</v>
      </c>
      <c r="H22" s="32">
        <v>2.4500000000000001E-2</v>
      </c>
      <c r="I22" s="32">
        <v>0.03</v>
      </c>
      <c r="J22" s="32">
        <v>3.2000000000000001E-2</v>
      </c>
      <c r="K22" s="32">
        <v>4.4999999999999998E-2</v>
      </c>
      <c r="L22" s="32">
        <v>4.9000000000000002E-2</v>
      </c>
      <c r="M22" s="32">
        <v>4.4999999999999998E-2</v>
      </c>
      <c r="N22" s="33">
        <v>2.5000000000000001E-2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</row>
    <row r="23" spans="1:34">
      <c r="A23" s="27" t="s">
        <v>2</v>
      </c>
      <c r="B23" s="28" t="s">
        <v>94</v>
      </c>
      <c r="C23" s="28" t="s">
        <v>100</v>
      </c>
      <c r="D23" s="32">
        <v>0.105</v>
      </c>
      <c r="E23" s="32">
        <v>0.121</v>
      </c>
      <c r="F23" s="32">
        <v>0.152</v>
      </c>
      <c r="G23" s="32">
        <v>0.16</v>
      </c>
      <c r="H23" s="32">
        <v>0.17499999999999999</v>
      </c>
      <c r="I23" s="32">
        <v>0.19800000000000001</v>
      </c>
      <c r="J23" s="32">
        <v>0.21</v>
      </c>
      <c r="K23" s="32">
        <v>0.16500000000000001</v>
      </c>
      <c r="L23" s="32">
        <v>0.14000000000000001</v>
      </c>
      <c r="M23" s="32">
        <v>0.155</v>
      </c>
      <c r="N23" s="33">
        <v>0.14499999999999999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</row>
    <row r="24" spans="1:34">
      <c r="A24" s="27" t="s">
        <v>2</v>
      </c>
      <c r="B24" s="28" t="s">
        <v>94</v>
      </c>
      <c r="C24" s="28" t="s">
        <v>101</v>
      </c>
      <c r="D24" s="32">
        <v>0.13100000000000001</v>
      </c>
      <c r="E24" s="32">
        <v>0.13500000000000001</v>
      </c>
      <c r="F24" s="32">
        <v>0.13</v>
      </c>
      <c r="G24" s="32">
        <v>0.125</v>
      </c>
      <c r="H24" s="32">
        <v>0.11199999999999999</v>
      </c>
      <c r="I24" s="32">
        <v>0.122</v>
      </c>
      <c r="J24" s="32">
        <v>0.151</v>
      </c>
      <c r="K24" s="32">
        <v>0.14800000000000002</v>
      </c>
      <c r="L24" s="32">
        <v>0.14199999999999999</v>
      </c>
      <c r="M24" s="32">
        <v>0.13500000000000001</v>
      </c>
      <c r="N24" s="33">
        <v>0.14349999999999999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</row>
    <row r="25" spans="1:34">
      <c r="A25" s="27" t="s">
        <v>59</v>
      </c>
      <c r="B25" s="28" t="s">
        <v>6</v>
      </c>
      <c r="C25" s="28" t="s">
        <v>76</v>
      </c>
      <c r="D25" s="29">
        <v>112179889</v>
      </c>
      <c r="E25" s="29">
        <v>142616004</v>
      </c>
      <c r="F25" s="29">
        <v>160849037</v>
      </c>
      <c r="G25" s="29">
        <v>159017028</v>
      </c>
      <c r="H25" s="29">
        <v>230802027</v>
      </c>
      <c r="I25" s="29">
        <v>277524615</v>
      </c>
      <c r="J25" s="29">
        <v>347341244</v>
      </c>
      <c r="K25" s="29">
        <v>420523705</v>
      </c>
      <c r="L25" s="29">
        <v>518641568</v>
      </c>
      <c r="M25" s="29">
        <v>631724964</v>
      </c>
      <c r="N25" s="29">
        <v>767617129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</row>
    <row r="26" spans="1:34">
      <c r="A26" s="27" t="s">
        <v>59</v>
      </c>
      <c r="B26" s="28" t="s">
        <v>6</v>
      </c>
      <c r="C26" s="28" t="s">
        <v>78</v>
      </c>
      <c r="D26" s="29">
        <v>1167241</v>
      </c>
      <c r="E26" s="29">
        <v>1495475</v>
      </c>
      <c r="F26" s="29">
        <v>1884581</v>
      </c>
      <c r="G26" s="29">
        <v>2378980</v>
      </c>
      <c r="H26" s="29">
        <v>2916744</v>
      </c>
      <c r="I26" s="29">
        <v>2214248</v>
      </c>
      <c r="J26" s="29">
        <v>3735663</v>
      </c>
      <c r="K26" s="29">
        <v>4771449</v>
      </c>
      <c r="L26" s="29">
        <v>6127896</v>
      </c>
      <c r="M26" s="29">
        <v>8090693</v>
      </c>
      <c r="N26" s="29">
        <v>10498378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</row>
    <row r="27" spans="1:34">
      <c r="A27" s="27" t="s">
        <v>59</v>
      </c>
      <c r="B27" s="28" t="s">
        <v>6</v>
      </c>
      <c r="C27" s="28" t="s">
        <v>7</v>
      </c>
      <c r="D27" s="29">
        <v>191993602</v>
      </c>
      <c r="E27" s="29">
        <v>235363136</v>
      </c>
      <c r="F27" s="29">
        <v>269392380</v>
      </c>
      <c r="G27" s="29">
        <v>318620217</v>
      </c>
      <c r="H27" s="29">
        <v>383699461</v>
      </c>
      <c r="I27" s="29">
        <v>439602933</v>
      </c>
      <c r="J27" s="29">
        <v>568728950</v>
      </c>
      <c r="K27" s="29">
        <v>699032544</v>
      </c>
      <c r="L27" s="29">
        <v>849482012</v>
      </c>
      <c r="M27" s="29">
        <v>978798549</v>
      </c>
      <c r="N27" s="29">
        <v>1192344137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</row>
    <row r="28" spans="1:34">
      <c r="A28" s="27" t="s">
        <v>59</v>
      </c>
      <c r="B28" s="28" t="s">
        <v>6</v>
      </c>
      <c r="C28" s="28" t="s">
        <v>16</v>
      </c>
      <c r="D28" s="29">
        <v>175536036</v>
      </c>
      <c r="E28" s="29">
        <v>215776660</v>
      </c>
      <c r="F28" s="29">
        <v>242461635</v>
      </c>
      <c r="G28" s="29">
        <v>269330154</v>
      </c>
      <c r="H28" s="29">
        <v>321626694</v>
      </c>
      <c r="I28" s="29">
        <v>364988147</v>
      </c>
      <c r="J28" s="29">
        <v>475687478</v>
      </c>
      <c r="K28" s="29">
        <v>585607578</v>
      </c>
      <c r="L28" s="29">
        <v>717865947</v>
      </c>
      <c r="M28" s="29">
        <v>830858928</v>
      </c>
      <c r="N28" s="29">
        <v>1012842695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</row>
    <row r="29" spans="1:34">
      <c r="A29" s="27" t="s">
        <v>59</v>
      </c>
      <c r="B29" s="28" t="s">
        <v>6</v>
      </c>
      <c r="C29" s="28" t="s">
        <v>18</v>
      </c>
      <c r="D29" s="29">
        <v>16457566</v>
      </c>
      <c r="E29" s="29">
        <v>19586476</v>
      </c>
      <c r="F29" s="29">
        <v>26930745</v>
      </c>
      <c r="G29" s="29">
        <v>49290063</v>
      </c>
      <c r="H29" s="29">
        <v>62072767</v>
      </c>
      <c r="I29" s="29">
        <v>74614786</v>
      </c>
      <c r="J29" s="29">
        <v>93041472</v>
      </c>
      <c r="K29" s="29">
        <v>113424966</v>
      </c>
      <c r="L29" s="29">
        <v>131616065</v>
      </c>
      <c r="M29" s="29">
        <v>147939621</v>
      </c>
      <c r="N29" s="29">
        <v>179501442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</row>
    <row r="30" spans="1:34">
      <c r="A30" s="27" t="s">
        <v>59</v>
      </c>
      <c r="B30" s="28" t="s">
        <v>33</v>
      </c>
      <c r="C30" s="28" t="s">
        <v>72</v>
      </c>
      <c r="D30" s="29">
        <v>9343942</v>
      </c>
      <c r="E30" s="29">
        <v>11833153</v>
      </c>
      <c r="F30" s="29">
        <v>16457988</v>
      </c>
      <c r="G30" s="29">
        <v>17319584</v>
      </c>
      <c r="H30" s="29">
        <v>21068145</v>
      </c>
      <c r="I30" s="29">
        <v>27378688</v>
      </c>
      <c r="J30" s="29">
        <v>37076291</v>
      </c>
      <c r="K30" s="29">
        <v>40527191</v>
      </c>
      <c r="L30" s="29">
        <v>40061092</v>
      </c>
      <c r="M30" s="29">
        <v>46990397</v>
      </c>
      <c r="N30" s="29">
        <v>53391125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</row>
    <row r="31" spans="1:34">
      <c r="A31" s="27" t="s">
        <v>59</v>
      </c>
      <c r="B31" s="28" t="s">
        <v>33</v>
      </c>
      <c r="C31" s="28" t="s">
        <v>17</v>
      </c>
      <c r="D31" s="29">
        <v>3678848</v>
      </c>
      <c r="E31" s="29">
        <v>4175422</v>
      </c>
      <c r="F31" s="29">
        <v>4812465</v>
      </c>
      <c r="G31" s="29">
        <v>5620341</v>
      </c>
      <c r="H31" s="29">
        <v>7312509</v>
      </c>
      <c r="I31" s="29">
        <v>8967357</v>
      </c>
      <c r="J31" s="29">
        <v>11173395</v>
      </c>
      <c r="K31" s="29">
        <v>13023129</v>
      </c>
      <c r="L31" s="29">
        <v>13251796</v>
      </c>
      <c r="M31" s="29">
        <v>15369735</v>
      </c>
      <c r="N31" s="29">
        <v>16432434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</row>
    <row r="32" spans="1:34">
      <c r="A32" s="27" t="s">
        <v>59</v>
      </c>
      <c r="B32" s="28" t="s">
        <v>33</v>
      </c>
      <c r="C32" s="28" t="s">
        <v>79</v>
      </c>
      <c r="D32" s="29">
        <v>3627889</v>
      </c>
      <c r="E32" s="29">
        <v>3661091</v>
      </c>
      <c r="F32" s="29">
        <v>3609226</v>
      </c>
      <c r="G32" s="29">
        <v>1843873</v>
      </c>
      <c r="H32" s="29">
        <v>917368</v>
      </c>
      <c r="I32" s="29">
        <v>2611035</v>
      </c>
      <c r="J32" s="29">
        <v>2664603</v>
      </c>
      <c r="K32" s="29">
        <v>1936294</v>
      </c>
      <c r="L32" s="29">
        <v>3921068</v>
      </c>
      <c r="M32" s="29">
        <v>4082294</v>
      </c>
      <c r="N32" s="29">
        <v>4420625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</row>
    <row r="33" spans="1:34">
      <c r="A33" s="27" t="s">
        <v>59</v>
      </c>
      <c r="B33" s="28" t="s">
        <v>33</v>
      </c>
      <c r="C33" s="28" t="s">
        <v>81</v>
      </c>
      <c r="D33" s="29">
        <v>1529188</v>
      </c>
      <c r="E33" s="29">
        <v>3148846</v>
      </c>
      <c r="F33" s="29">
        <v>6445595</v>
      </c>
      <c r="G33" s="29">
        <v>7998551</v>
      </c>
      <c r="H33" s="29">
        <v>10226209</v>
      </c>
      <c r="I33" s="29">
        <v>12582467</v>
      </c>
      <c r="J33" s="29">
        <v>18415382</v>
      </c>
      <c r="K33" s="29">
        <v>20436426</v>
      </c>
      <c r="L33" s="29">
        <v>18190866</v>
      </c>
      <c r="M33" s="29">
        <v>21760104</v>
      </c>
      <c r="N33" s="29">
        <v>25954472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</row>
    <row r="34" spans="1:34">
      <c r="A34" s="27" t="s">
        <v>59</v>
      </c>
      <c r="B34" s="28" t="s">
        <v>33</v>
      </c>
      <c r="C34" s="28" t="s">
        <v>86</v>
      </c>
      <c r="D34" s="29">
        <v>1529188</v>
      </c>
      <c r="E34" s="29">
        <v>3148846</v>
      </c>
      <c r="F34" s="29">
        <v>6445595</v>
      </c>
      <c r="G34" s="29">
        <v>7998551</v>
      </c>
      <c r="H34" s="29">
        <v>10075139</v>
      </c>
      <c r="I34" s="29">
        <v>12324991</v>
      </c>
      <c r="J34" s="29">
        <v>18052250</v>
      </c>
      <c r="K34" s="29">
        <v>20150377</v>
      </c>
      <c r="L34" s="29">
        <v>18003802</v>
      </c>
      <c r="M34" s="29">
        <v>21522928</v>
      </c>
      <c r="N34" s="29">
        <v>25290230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</row>
    <row r="35" spans="1:34">
      <c r="A35" s="27" t="s">
        <v>59</v>
      </c>
      <c r="B35" s="28" t="s">
        <v>33</v>
      </c>
      <c r="C35" s="28" t="s">
        <v>84</v>
      </c>
      <c r="D35" s="29">
        <v>1382</v>
      </c>
      <c r="E35" s="29">
        <v>2929</v>
      </c>
      <c r="F35" s="29">
        <v>7719</v>
      </c>
      <c r="G35" s="29">
        <v>3816</v>
      </c>
      <c r="H35" s="29">
        <v>2871</v>
      </c>
      <c r="I35" s="29">
        <v>3515</v>
      </c>
      <c r="J35" s="29">
        <v>5137</v>
      </c>
      <c r="K35" s="29">
        <v>5725</v>
      </c>
      <c r="L35" s="29">
        <v>2549</v>
      </c>
      <c r="M35" s="29">
        <v>3049</v>
      </c>
      <c r="N35" s="29">
        <v>3572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</row>
    <row r="36" spans="1:34">
      <c r="A36" s="27" t="s">
        <v>59</v>
      </c>
      <c r="B36" s="3" t="s">
        <v>22</v>
      </c>
      <c r="C36" s="28" t="s">
        <v>88</v>
      </c>
      <c r="D36" s="21">
        <v>-5318158</v>
      </c>
      <c r="E36" s="21">
        <v>2355170</v>
      </c>
      <c r="F36" s="21">
        <v>6967811</v>
      </c>
      <c r="G36" s="21">
        <v>-1287436</v>
      </c>
      <c r="H36" s="21">
        <v>12631802</v>
      </c>
      <c r="I36" s="21">
        <v>-10088467</v>
      </c>
      <c r="J36" s="21">
        <v>12828221</v>
      </c>
      <c r="K36" s="21">
        <v>55468501</v>
      </c>
      <c r="L36" s="21">
        <v>12053287</v>
      </c>
      <c r="M36" s="21">
        <v>42376555</v>
      </c>
      <c r="N36" s="21">
        <v>39923618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</row>
    <row r="37" spans="1:34">
      <c r="A37" s="27" t="s">
        <v>59</v>
      </c>
      <c r="B37" s="3" t="s">
        <v>22</v>
      </c>
      <c r="C37" s="28" t="s">
        <v>90</v>
      </c>
      <c r="D37" s="21">
        <v>124265</v>
      </c>
      <c r="E37" s="21">
        <v>941512</v>
      </c>
      <c r="F37" s="21">
        <v>175815</v>
      </c>
      <c r="G37" s="21">
        <v>370190</v>
      </c>
      <c r="H37" s="21">
        <v>257620</v>
      </c>
      <c r="I37" s="21">
        <v>665860</v>
      </c>
      <c r="J37" s="21">
        <v>939995</v>
      </c>
      <c r="K37" s="21">
        <v>1110111</v>
      </c>
      <c r="L37" s="21">
        <v>1232358</v>
      </c>
      <c r="M37" s="21">
        <v>1618886</v>
      </c>
      <c r="N37" s="21">
        <v>657030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</row>
    <row r="38" spans="1:34">
      <c r="A38" s="27" t="s">
        <v>59</v>
      </c>
      <c r="B38" s="3" t="s">
        <v>22</v>
      </c>
      <c r="C38" s="28" t="s">
        <v>91</v>
      </c>
      <c r="D38" s="21">
        <v>0</v>
      </c>
      <c r="E38" s="21">
        <v>2127</v>
      </c>
      <c r="F38" s="21">
        <v>764914</v>
      </c>
      <c r="G38" s="21">
        <v>13641177</v>
      </c>
      <c r="H38" s="21">
        <v>-3094234</v>
      </c>
      <c r="I38" s="21">
        <v>-174546</v>
      </c>
      <c r="J38" s="21">
        <v>60053</v>
      </c>
      <c r="K38" s="21">
        <v>-709576</v>
      </c>
      <c r="L38" s="21">
        <v>53518</v>
      </c>
      <c r="M38" s="21">
        <v>-5009760</v>
      </c>
      <c r="N38" s="21">
        <v>5235750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</row>
    <row r="39" spans="1:34">
      <c r="A39" s="27" t="s">
        <v>59</v>
      </c>
      <c r="B39" s="28" t="s">
        <v>42</v>
      </c>
      <c r="C39" s="28" t="s">
        <v>93</v>
      </c>
      <c r="D39" s="29">
        <v>309301</v>
      </c>
      <c r="E39" s="29">
        <v>396736</v>
      </c>
      <c r="F39" s="29">
        <v>575397</v>
      </c>
      <c r="G39" s="29">
        <v>237758</v>
      </c>
      <c r="H39" s="29">
        <v>218128</v>
      </c>
      <c r="I39" s="29">
        <v>416892</v>
      </c>
      <c r="J39" s="29">
        <v>678516</v>
      </c>
      <c r="K39" s="29">
        <v>901592</v>
      </c>
      <c r="L39" s="29">
        <v>1856801</v>
      </c>
      <c r="M39" s="29">
        <v>1365655</v>
      </c>
      <c r="N39" s="29">
        <v>918063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</row>
    <row r="40" spans="1:34">
      <c r="A40" s="27" t="s">
        <v>59</v>
      </c>
      <c r="B40" s="28" t="s">
        <v>42</v>
      </c>
      <c r="C40" s="28" t="s">
        <v>95</v>
      </c>
      <c r="D40" s="29">
        <v>537739</v>
      </c>
      <c r="E40" s="29">
        <v>474551</v>
      </c>
      <c r="F40" s="29">
        <v>455567</v>
      </c>
      <c r="G40" s="29">
        <v>862510</v>
      </c>
      <c r="H40" s="29">
        <v>305230</v>
      </c>
      <c r="I40" s="29">
        <v>533944</v>
      </c>
      <c r="J40" s="29">
        <v>860243</v>
      </c>
      <c r="K40" s="29">
        <v>1131087</v>
      </c>
      <c r="L40" s="29">
        <v>2762221</v>
      </c>
      <c r="M40" s="29">
        <v>2465618</v>
      </c>
      <c r="N40" s="29">
        <v>1339119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</row>
    <row r="41" spans="1:34">
      <c r="A41" s="27" t="s">
        <v>59</v>
      </c>
      <c r="B41" s="28" t="s">
        <v>42</v>
      </c>
      <c r="C41" s="28" t="s">
        <v>96</v>
      </c>
      <c r="D41" s="29">
        <v>1016666</v>
      </c>
      <c r="E41" s="29">
        <v>1375017</v>
      </c>
      <c r="F41" s="29">
        <v>1552962</v>
      </c>
      <c r="G41" s="29">
        <v>1703181</v>
      </c>
      <c r="H41" s="29">
        <v>2554518</v>
      </c>
      <c r="I41" s="29">
        <v>344356</v>
      </c>
      <c r="J41" s="29">
        <v>755115</v>
      </c>
      <c r="K41" s="29">
        <v>999926</v>
      </c>
      <c r="L41" s="29">
        <v>1380121</v>
      </c>
      <c r="M41" s="29">
        <v>3269527</v>
      </c>
      <c r="N41" s="29">
        <v>5941193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</row>
    <row r="42" spans="1:34">
      <c r="A42" s="27" t="s">
        <v>59</v>
      </c>
      <c r="B42" s="28" t="s">
        <v>42</v>
      </c>
      <c r="C42" s="28" t="s">
        <v>85</v>
      </c>
      <c r="D42" s="29">
        <v>0</v>
      </c>
      <c r="E42" s="29">
        <v>0</v>
      </c>
      <c r="F42" s="29">
        <f t="shared" ref="F42:I42" si="1">0</f>
        <v>0</v>
      </c>
      <c r="G42" s="29">
        <f t="shared" si="1"/>
        <v>0</v>
      </c>
      <c r="H42" s="29">
        <f t="shared" si="1"/>
        <v>0</v>
      </c>
      <c r="I42" s="29">
        <f t="shared" si="1"/>
        <v>0</v>
      </c>
      <c r="J42" s="29">
        <v>264951</v>
      </c>
      <c r="K42" s="29">
        <v>635927</v>
      </c>
      <c r="L42" s="29">
        <v>972487</v>
      </c>
      <c r="M42" s="29">
        <v>1237873</v>
      </c>
      <c r="N42" s="29">
        <v>1507626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</row>
    <row r="43" spans="1:34">
      <c r="A43" s="27" t="s">
        <v>59</v>
      </c>
      <c r="B43" s="28" t="s">
        <v>42</v>
      </c>
      <c r="C43" s="28" t="s">
        <v>89</v>
      </c>
      <c r="D43" s="29">
        <v>276637</v>
      </c>
      <c r="E43" s="29">
        <v>274912</v>
      </c>
      <c r="F43" s="29">
        <v>281141</v>
      </c>
      <c r="G43" s="29">
        <v>216594</v>
      </c>
      <c r="H43" s="29">
        <v>254986</v>
      </c>
      <c r="I43" s="29">
        <v>386763</v>
      </c>
      <c r="J43" s="29">
        <v>608149</v>
      </c>
      <c r="K43" s="29">
        <v>757167</v>
      </c>
      <c r="L43" s="29">
        <v>1215940</v>
      </c>
      <c r="M43" s="29">
        <v>1581263</v>
      </c>
      <c r="N43" s="29">
        <v>1909859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</row>
    <row r="44" spans="1:34">
      <c r="A44" s="27" t="s">
        <v>59</v>
      </c>
      <c r="B44" s="28" t="s">
        <v>94</v>
      </c>
      <c r="C44" s="28" t="s">
        <v>98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</row>
    <row r="45" spans="1:34">
      <c r="A45" s="27" t="s">
        <v>59</v>
      </c>
      <c r="B45" s="28" t="s">
        <v>94</v>
      </c>
      <c r="C45" s="28" t="s">
        <v>99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</row>
    <row r="46" spans="1:34">
      <c r="A46" s="27" t="s">
        <v>59</v>
      </c>
      <c r="B46" s="28" t="s">
        <v>94</v>
      </c>
      <c r="C46" s="28" t="s">
        <v>100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</row>
    <row r="47" spans="1:34">
      <c r="A47" s="27" t="s">
        <v>59</v>
      </c>
      <c r="B47" s="28" t="s">
        <v>94</v>
      </c>
      <c r="C47" s="28" t="s">
        <v>101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</row>
    <row r="48" spans="1:34">
      <c r="A48" s="27" t="s">
        <v>59</v>
      </c>
      <c r="B48" s="28" t="s">
        <v>94</v>
      </c>
      <c r="C48" s="28" t="s">
        <v>105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</row>
    <row r="49" spans="1:34">
      <c r="A49" s="27"/>
      <c r="B49" s="28"/>
      <c r="C49" s="28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</row>
    <row r="50" spans="1:34">
      <c r="A50" s="27"/>
      <c r="B50" s="28"/>
      <c r="C50" s="2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</row>
    <row r="51" spans="1:34">
      <c r="A51" s="27"/>
      <c r="B51" s="28"/>
      <c r="C51" s="2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</row>
    <row r="52" spans="1:34">
      <c r="A52" s="27"/>
      <c r="B52" s="28"/>
      <c r="C52" s="2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</row>
    <row r="53" spans="1:34">
      <c r="A53" s="27"/>
      <c r="B53" s="28"/>
      <c r="C53" s="2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</row>
    <row r="54" spans="1:34">
      <c r="A54" s="27"/>
      <c r="B54" s="28"/>
      <c r="C54" s="2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</row>
    <row r="55" spans="1:34">
      <c r="A55" s="27"/>
      <c r="B55" s="28"/>
      <c r="C55" s="2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</row>
    <row r="56" spans="1:34">
      <c r="A56" s="27"/>
      <c r="B56" s="28"/>
      <c r="C56" s="2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</row>
    <row r="57" spans="1:34">
      <c r="A57" s="27"/>
      <c r="B57" s="28"/>
      <c r="C57" s="2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</row>
    <row r="58" spans="1:34">
      <c r="A58" s="27"/>
      <c r="B58" s="28"/>
      <c r="C58" s="2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</row>
    <row r="59" spans="1:34">
      <c r="A59" s="27"/>
      <c r="B59" s="28"/>
      <c r="C59" s="28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</row>
    <row r="60" spans="1:34">
      <c r="A60" s="27"/>
      <c r="B60" s="3"/>
      <c r="C60" s="28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</row>
    <row r="61" spans="1:34">
      <c r="A61" s="27"/>
      <c r="B61" s="3"/>
      <c r="C61" s="28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</row>
    <row r="62" spans="1:34">
      <c r="A62" s="27"/>
      <c r="B62" s="3"/>
      <c r="C62" s="28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</row>
    <row r="63" spans="1:34">
      <c r="A63" s="27"/>
      <c r="B63" s="28"/>
      <c r="C63" s="28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</row>
    <row r="64" spans="1:34">
      <c r="A64" s="27"/>
      <c r="B64" s="28"/>
      <c r="C64" s="28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</row>
    <row r="65" spans="1:34">
      <c r="A65" s="27"/>
      <c r="B65" s="28"/>
      <c r="C65" s="28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</row>
    <row r="66" spans="1:34">
      <c r="A66" s="27"/>
      <c r="B66" s="28"/>
      <c r="C66" s="28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</row>
    <row r="67" spans="1:34">
      <c r="A67" s="27"/>
      <c r="B67" s="28"/>
      <c r="C67" s="28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</row>
    <row r="68" spans="1:34">
      <c r="A68" s="27"/>
      <c r="B68" s="28"/>
      <c r="C68" s="28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</row>
    <row r="69" spans="1:34">
      <c r="A69" s="27"/>
      <c r="B69" s="28"/>
      <c r="C69" s="28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</row>
    <row r="70" spans="1:34">
      <c r="A70" s="27"/>
      <c r="B70" s="28"/>
      <c r="C70" s="28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</row>
    <row r="71" spans="1:34">
      <c r="A71" s="27"/>
      <c r="B71" s="28"/>
      <c r="C71" s="28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</row>
    <row r="72" spans="1:34">
      <c r="A72" s="27"/>
      <c r="B72" s="28"/>
      <c r="C72" s="28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</row>
    <row r="73" spans="1:34">
      <c r="A73" s="27"/>
      <c r="B73" s="28"/>
      <c r="C73" s="28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</row>
    <row r="74" spans="1:34">
      <c r="A74" s="27"/>
      <c r="B74" s="28"/>
      <c r="C74" s="28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</row>
    <row r="75" spans="1:34">
      <c r="A75" s="23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</row>
    <row r="76" spans="1:34">
      <c r="A76" s="23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</row>
    <row r="77" spans="1:34">
      <c r="A77" s="23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</row>
    <row r="78" spans="1:34">
      <c r="A78" s="23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</row>
    <row r="79" spans="1:34">
      <c r="A79" s="23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</row>
    <row r="80" spans="1:34">
      <c r="A80" s="23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</row>
    <row r="81" spans="1:34">
      <c r="A81" s="23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</row>
    <row r="82" spans="1:34">
      <c r="A82" s="23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</row>
    <row r="83" spans="1:34">
      <c r="A83" s="23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</row>
    <row r="84" spans="1:34">
      <c r="A84" s="23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</row>
    <row r="85" spans="1:34">
      <c r="A85" s="23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</row>
    <row r="86" spans="1:34">
      <c r="A86" s="23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</row>
    <row r="87" spans="1:34">
      <c r="A87" s="23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</row>
    <row r="88" spans="1:34">
      <c r="A88" s="23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</row>
    <row r="89" spans="1:34">
      <c r="A89" s="2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</row>
    <row r="90" spans="1:34">
      <c r="A90" s="23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</row>
    <row r="91" spans="1:34">
      <c r="A91" s="23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</row>
    <row r="92" spans="1:34">
      <c r="A92" s="23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</row>
    <row r="93" spans="1:34">
      <c r="A93" s="23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</row>
    <row r="94" spans="1:34">
      <c r="A94" s="23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</row>
    <row r="95" spans="1:34">
      <c r="A95" s="23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</row>
    <row r="96" spans="1:34">
      <c r="A96" s="23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</row>
    <row r="97" spans="1:34">
      <c r="A97" s="23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</row>
    <row r="98" spans="1:34">
      <c r="A98" s="23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</row>
    <row r="99" spans="1:34">
      <c r="A99" s="23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</row>
    <row r="100" spans="1:34">
      <c r="A100" s="23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</row>
    <row r="101" spans="1:34">
      <c r="A101" s="23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</row>
    <row r="102" spans="1:34">
      <c r="A102" s="23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</row>
    <row r="103" spans="1:34">
      <c r="A103" s="23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</row>
    <row r="104" spans="1:34">
      <c r="A104" s="23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</row>
    <row r="105" spans="1:34">
      <c r="A105" s="23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</row>
    <row r="106" spans="1:34">
      <c r="A106" s="23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</row>
    <row r="107" spans="1:34">
      <c r="A107" s="23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</row>
    <row r="108" spans="1:34">
      <c r="A108" s="23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</row>
    <row r="109" spans="1:34">
      <c r="A109" s="23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</row>
    <row r="110" spans="1:34">
      <c r="A110" s="23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</row>
    <row r="111" spans="1:34">
      <c r="A111" s="23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</row>
    <row r="112" spans="1:34">
      <c r="A112" s="23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</row>
    <row r="113" spans="1:34">
      <c r="A113" s="23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</row>
    <row r="114" spans="1:34">
      <c r="A114" s="23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</row>
    <row r="115" spans="1:34">
      <c r="A115" s="23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</row>
    <row r="116" spans="1:34">
      <c r="A116" s="23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</row>
    <row r="117" spans="1:34">
      <c r="A117" s="23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</row>
    <row r="118" spans="1:34">
      <c r="A118" s="23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</row>
    <row r="119" spans="1:34">
      <c r="A119" s="23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</row>
    <row r="120" spans="1:34">
      <c r="A120" s="23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</row>
    <row r="121" spans="1:34">
      <c r="A121" s="23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</row>
    <row r="122" spans="1:34">
      <c r="A122" s="23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</row>
    <row r="123" spans="1:34">
      <c r="A123" s="23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</row>
    <row r="124" spans="1:34">
      <c r="A124" s="23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</row>
    <row r="125" spans="1:34">
      <c r="A125" s="23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</row>
    <row r="126" spans="1:34">
      <c r="A126" s="23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</row>
    <row r="127" spans="1:34">
      <c r="A127" s="23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</row>
    <row r="128" spans="1:34">
      <c r="A128" s="23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</row>
    <row r="129" spans="1:34">
      <c r="A129" s="23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</row>
    <row r="130" spans="1:34">
      <c r="A130" s="23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</row>
    <row r="131" spans="1:34">
      <c r="A131" s="23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</row>
    <row r="132" spans="1:34">
      <c r="A132" s="23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</row>
    <row r="133" spans="1:34">
      <c r="A133" s="23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</row>
    <row r="134" spans="1:34">
      <c r="A134" s="23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</row>
    <row r="135" spans="1:34">
      <c r="A135" s="23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</row>
    <row r="136" spans="1:34">
      <c r="A136" s="23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</row>
    <row r="137" spans="1:34">
      <c r="A137" s="23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</row>
    <row r="138" spans="1:34">
      <c r="A138" s="23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</row>
    <row r="139" spans="1:34">
      <c r="A139" s="23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</row>
    <row r="140" spans="1:34">
      <c r="A140" s="23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</row>
    <row r="141" spans="1:34">
      <c r="A141" s="23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</row>
    <row r="142" spans="1:34">
      <c r="A142" s="23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</row>
    <row r="143" spans="1:34">
      <c r="A143" s="23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</row>
    <row r="144" spans="1:34">
      <c r="A144" s="23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</row>
    <row r="145" spans="1:34">
      <c r="A145" s="23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</row>
    <row r="146" spans="1:34">
      <c r="A146" s="23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</row>
    <row r="147" spans="1:34">
      <c r="A147" s="23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</row>
    <row r="148" spans="1:34">
      <c r="A148" s="23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</row>
    <row r="149" spans="1:34">
      <c r="A149" s="23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</row>
    <row r="150" spans="1:34">
      <c r="A150" s="23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</row>
    <row r="151" spans="1:34">
      <c r="A151" s="23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</row>
    <row r="152" spans="1:34">
      <c r="A152" s="23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</row>
    <row r="153" spans="1:34">
      <c r="A153" s="23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</row>
    <row r="154" spans="1:34">
      <c r="A154" s="23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</row>
    <row r="155" spans="1:34">
      <c r="A155" s="23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</row>
    <row r="156" spans="1:34">
      <c r="A156" s="23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</row>
    <row r="157" spans="1:34">
      <c r="A157" s="23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</row>
    <row r="158" spans="1:34">
      <c r="A158" s="23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</row>
    <row r="159" spans="1:34">
      <c r="A159" s="23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</row>
    <row r="160" spans="1:34">
      <c r="A160" s="23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</row>
    <row r="161" spans="1:34">
      <c r="A161" s="23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</row>
    <row r="162" spans="1:34">
      <c r="A162" s="23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</row>
    <row r="163" spans="1:34">
      <c r="A163" s="23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</row>
    <row r="164" spans="1:34">
      <c r="A164" s="23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</row>
    <row r="165" spans="1:34">
      <c r="A165" s="23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</row>
    <row r="166" spans="1:34">
      <c r="A166" s="23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</row>
    <row r="167" spans="1:34">
      <c r="A167" s="23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</row>
    <row r="168" spans="1:34">
      <c r="A168" s="23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</row>
    <row r="169" spans="1:34">
      <c r="A169" s="23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</row>
    <row r="170" spans="1:34">
      <c r="A170" s="23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</row>
    <row r="171" spans="1:34">
      <c r="A171" s="23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</row>
    <row r="172" spans="1:34">
      <c r="A172" s="23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</row>
    <row r="173" spans="1:34">
      <c r="A173" s="23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</row>
    <row r="174" spans="1:34">
      <c r="A174" s="23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</row>
    <row r="175" spans="1:34">
      <c r="A175" s="23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</row>
    <row r="176" spans="1:34">
      <c r="A176" s="23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</row>
    <row r="177" spans="1:34">
      <c r="A177" s="23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</row>
    <row r="178" spans="1:34">
      <c r="A178" s="23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</row>
    <row r="179" spans="1:34">
      <c r="A179" s="23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</row>
    <row r="180" spans="1:34">
      <c r="A180" s="23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</row>
    <row r="181" spans="1:34">
      <c r="A181" s="23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</row>
    <row r="182" spans="1:34">
      <c r="A182" s="23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</row>
    <row r="183" spans="1:34">
      <c r="A183" s="23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</row>
    <row r="184" spans="1:34">
      <c r="A184" s="23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</row>
    <row r="185" spans="1:34">
      <c r="A185" s="23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</row>
    <row r="186" spans="1:34">
      <c r="A186" s="23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</row>
    <row r="187" spans="1:34">
      <c r="A187" s="23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</row>
    <row r="188" spans="1:34">
      <c r="A188" s="23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</row>
    <row r="189" spans="1:34">
      <c r="A189" s="23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</row>
    <row r="190" spans="1:34">
      <c r="A190" s="23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</row>
    <row r="191" spans="1:34">
      <c r="A191" s="23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</row>
    <row r="192" spans="1:34">
      <c r="A192" s="23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</row>
    <row r="193" spans="1:34">
      <c r="A193" s="23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</row>
    <row r="194" spans="1:34">
      <c r="A194" s="23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</row>
    <row r="195" spans="1:34">
      <c r="A195" s="23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</row>
    <row r="196" spans="1:34">
      <c r="A196" s="23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</row>
    <row r="197" spans="1:34">
      <c r="A197" s="23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</row>
    <row r="198" spans="1:34">
      <c r="A198" s="23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</row>
    <row r="199" spans="1:34">
      <c r="A199" s="23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</row>
    <row r="200" spans="1:34">
      <c r="A200" s="23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</row>
    <row r="201" spans="1:34">
      <c r="A201" s="23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</row>
    <row r="202" spans="1:34">
      <c r="A202" s="23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</row>
    <row r="203" spans="1:34">
      <c r="A203" s="23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</row>
    <row r="204" spans="1:34">
      <c r="A204" s="23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</row>
    <row r="205" spans="1:34">
      <c r="A205" s="23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</row>
    <row r="206" spans="1:34">
      <c r="A206" s="23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</row>
    <row r="207" spans="1:34">
      <c r="A207" s="23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</row>
    <row r="208" spans="1:34">
      <c r="A208" s="23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</row>
    <row r="209" spans="1:34">
      <c r="A209" s="23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</row>
    <row r="210" spans="1:34">
      <c r="A210" s="23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</row>
    <row r="211" spans="1:34">
      <c r="A211" s="23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</row>
    <row r="212" spans="1:34">
      <c r="A212" s="23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</row>
    <row r="213" spans="1:34">
      <c r="A213" s="23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</row>
    <row r="214" spans="1:34">
      <c r="A214" s="23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</row>
    <row r="215" spans="1:34">
      <c r="A215" s="23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</row>
    <row r="216" spans="1:34">
      <c r="A216" s="23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</row>
    <row r="217" spans="1:34">
      <c r="A217" s="23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</row>
    <row r="218" spans="1:34">
      <c r="A218" s="23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</row>
    <row r="219" spans="1:34">
      <c r="A219" s="23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</row>
    <row r="220" spans="1:34">
      <c r="A220" s="23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</row>
    <row r="221" spans="1:34">
      <c r="A221" s="23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</row>
    <row r="222" spans="1:34">
      <c r="A222" s="23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</row>
    <row r="223" spans="1:34">
      <c r="A223" s="23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</row>
    <row r="224" spans="1:34">
      <c r="A224" s="23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</row>
    <row r="225" spans="1:34">
      <c r="A225" s="23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</row>
    <row r="226" spans="1:34">
      <c r="A226" s="23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</row>
    <row r="227" spans="1:34">
      <c r="A227" s="23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</row>
    <row r="228" spans="1:34">
      <c r="A228" s="23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</row>
    <row r="229" spans="1:34">
      <c r="A229" s="23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</row>
    <row r="230" spans="1:34">
      <c r="A230" s="23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</row>
    <row r="231" spans="1:34">
      <c r="A231" s="23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</row>
    <row r="232" spans="1:34">
      <c r="A232" s="23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</row>
    <row r="233" spans="1:34">
      <c r="A233" s="23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</row>
    <row r="234" spans="1:34">
      <c r="A234" s="23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</row>
    <row r="235" spans="1:34">
      <c r="A235" s="23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</row>
    <row r="236" spans="1:34">
      <c r="A236" s="23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</row>
    <row r="237" spans="1:34">
      <c r="A237" s="23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</row>
    <row r="238" spans="1:34">
      <c r="A238" s="23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</row>
    <row r="239" spans="1:34">
      <c r="A239" s="23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</row>
    <row r="240" spans="1:34">
      <c r="A240" s="23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</row>
    <row r="241" spans="1:34">
      <c r="A241" s="23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</row>
    <row r="242" spans="1:34">
      <c r="A242" s="23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</row>
    <row r="243" spans="1:34">
      <c r="A243" s="23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</row>
    <row r="244" spans="1:34">
      <c r="A244" s="23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</row>
    <row r="245" spans="1:34">
      <c r="A245" s="23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</row>
    <row r="246" spans="1:34">
      <c r="A246" s="23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</row>
    <row r="247" spans="1:34">
      <c r="A247" s="23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</row>
    <row r="248" spans="1:34">
      <c r="A248" s="23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</row>
    <row r="249" spans="1:34">
      <c r="A249" s="23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</row>
    <row r="250" spans="1:34">
      <c r="A250" s="23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</row>
    <row r="251" spans="1:34">
      <c r="A251" s="23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</row>
    <row r="252" spans="1:34">
      <c r="A252" s="23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</row>
    <row r="253" spans="1:34">
      <c r="A253" s="23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</row>
    <row r="254" spans="1:34">
      <c r="A254" s="23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</row>
    <row r="255" spans="1:34">
      <c r="A255" s="23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</row>
    <row r="256" spans="1:34">
      <c r="A256" s="23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</row>
    <row r="257" spans="1:34">
      <c r="A257" s="23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</row>
    <row r="258" spans="1:34">
      <c r="A258" s="23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</row>
    <row r="259" spans="1:34">
      <c r="A259" s="23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</row>
    <row r="260" spans="1:34">
      <c r="A260" s="23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</row>
    <row r="261" spans="1:34">
      <c r="A261" s="23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</row>
    <row r="262" spans="1:34">
      <c r="A262" s="23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</row>
    <row r="263" spans="1:34">
      <c r="A263" s="23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</row>
    <row r="264" spans="1:34">
      <c r="A264" s="23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</row>
    <row r="265" spans="1:34">
      <c r="A265" s="23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</row>
    <row r="266" spans="1:34">
      <c r="A266" s="23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</row>
    <row r="267" spans="1:34">
      <c r="A267" s="23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</row>
    <row r="268" spans="1:34">
      <c r="A268" s="23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</row>
    <row r="269" spans="1:34">
      <c r="A269" s="23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</row>
    <row r="270" spans="1:34">
      <c r="A270" s="23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</row>
    <row r="271" spans="1:34">
      <c r="A271" s="23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</row>
    <row r="272" spans="1:34">
      <c r="A272" s="23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</row>
    <row r="273" spans="1:34">
      <c r="A273" s="23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</row>
    <row r="274" spans="1:34">
      <c r="A274" s="23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</row>
    <row r="275" spans="1:34">
      <c r="A275" s="23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</row>
    <row r="276" spans="1:34">
      <c r="A276" s="23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</row>
    <row r="277" spans="1:34">
      <c r="A277" s="23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</row>
    <row r="278" spans="1:34">
      <c r="A278" s="23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</row>
    <row r="279" spans="1:34">
      <c r="A279" s="23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</row>
    <row r="280" spans="1:34">
      <c r="A280" s="23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</row>
    <row r="281" spans="1:34">
      <c r="A281" s="23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</row>
    <row r="282" spans="1:34">
      <c r="A282" s="23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</row>
    <row r="283" spans="1:34">
      <c r="A283" s="23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</row>
    <row r="284" spans="1:34">
      <c r="A284" s="23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</row>
    <row r="285" spans="1:34">
      <c r="A285" s="23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</row>
    <row r="286" spans="1:34">
      <c r="A286" s="23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</row>
    <row r="287" spans="1:34">
      <c r="A287" s="23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</row>
    <row r="288" spans="1:34">
      <c r="A288" s="23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</row>
    <row r="289" spans="1:34">
      <c r="A289" s="23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</row>
    <row r="290" spans="1:34">
      <c r="A290" s="23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</row>
    <row r="291" spans="1:34">
      <c r="A291" s="23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</row>
    <row r="292" spans="1:34">
      <c r="A292" s="23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</row>
    <row r="293" spans="1:34">
      <c r="A293" s="23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</row>
    <row r="294" spans="1:34">
      <c r="A294" s="23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</row>
    <row r="295" spans="1:34">
      <c r="A295" s="23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</row>
    <row r="296" spans="1:34">
      <c r="A296" s="23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</row>
    <row r="297" spans="1:34">
      <c r="A297" s="23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</row>
    <row r="298" spans="1:34">
      <c r="A298" s="23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</row>
    <row r="299" spans="1:34">
      <c r="A299" s="23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</row>
    <row r="300" spans="1:34">
      <c r="A300" s="23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</row>
    <row r="301" spans="1:34">
      <c r="A301" s="23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</row>
    <row r="302" spans="1:34">
      <c r="A302" s="23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</row>
    <row r="303" spans="1:34">
      <c r="A303" s="23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</row>
    <row r="304" spans="1:34">
      <c r="A304" s="23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</row>
    <row r="305" spans="1:34">
      <c r="A305" s="23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</row>
    <row r="306" spans="1:34">
      <c r="A306" s="23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</row>
    <row r="307" spans="1:34">
      <c r="A307" s="23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</row>
    <row r="308" spans="1:34">
      <c r="A308" s="23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</row>
    <row r="309" spans="1:34">
      <c r="A309" s="23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</row>
    <row r="310" spans="1:34">
      <c r="A310" s="23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</row>
    <row r="311" spans="1:34">
      <c r="A311" s="23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</row>
    <row r="312" spans="1:34">
      <c r="A312" s="23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</row>
    <row r="313" spans="1:34">
      <c r="A313" s="23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</row>
    <row r="314" spans="1:34">
      <c r="A314" s="23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</row>
    <row r="315" spans="1:34">
      <c r="A315" s="23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</row>
    <row r="316" spans="1:34">
      <c r="A316" s="23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</row>
    <row r="317" spans="1:34">
      <c r="A317" s="23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</row>
    <row r="318" spans="1:34">
      <c r="A318" s="23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</row>
    <row r="319" spans="1:34">
      <c r="A319" s="23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</row>
    <row r="320" spans="1:34">
      <c r="A320" s="23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</row>
    <row r="321" spans="1:34">
      <c r="A321" s="23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</row>
    <row r="322" spans="1:34">
      <c r="A322" s="23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</row>
    <row r="323" spans="1:34">
      <c r="A323" s="23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</row>
    <row r="324" spans="1:34">
      <c r="A324" s="23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</row>
    <row r="325" spans="1:34">
      <c r="A325" s="23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</row>
    <row r="326" spans="1:34">
      <c r="A326" s="23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</row>
    <row r="327" spans="1:34">
      <c r="A327" s="23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</row>
    <row r="328" spans="1:34">
      <c r="A328" s="23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</row>
    <row r="329" spans="1:34">
      <c r="A329" s="23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</row>
    <row r="330" spans="1:34">
      <c r="A330" s="23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</row>
    <row r="331" spans="1:34">
      <c r="A331" s="23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</row>
    <row r="332" spans="1:34">
      <c r="A332" s="23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</row>
    <row r="333" spans="1:34">
      <c r="A333" s="23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</row>
    <row r="334" spans="1:34">
      <c r="A334" s="23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</row>
    <row r="335" spans="1:34">
      <c r="A335" s="23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</row>
    <row r="336" spans="1:34">
      <c r="A336" s="23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</row>
    <row r="337" spans="1:34">
      <c r="A337" s="23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</row>
    <row r="338" spans="1:34">
      <c r="A338" s="23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</row>
    <row r="339" spans="1:34">
      <c r="A339" s="23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</row>
    <row r="340" spans="1:34">
      <c r="A340" s="23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</row>
    <row r="341" spans="1:34">
      <c r="A341" s="23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</row>
    <row r="342" spans="1:34">
      <c r="A342" s="23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</row>
    <row r="343" spans="1:34">
      <c r="A343" s="23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</row>
    <row r="344" spans="1:34">
      <c r="A344" s="23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</row>
    <row r="345" spans="1:34">
      <c r="A345" s="23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</row>
    <row r="346" spans="1:34">
      <c r="A346" s="23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</row>
    <row r="347" spans="1:34">
      <c r="A347" s="23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</row>
    <row r="348" spans="1:34">
      <c r="A348" s="23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</row>
    <row r="349" spans="1:34">
      <c r="A349" s="23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</row>
    <row r="350" spans="1:34">
      <c r="A350" s="23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</row>
    <row r="351" spans="1:34">
      <c r="A351" s="23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</row>
    <row r="352" spans="1:34">
      <c r="A352" s="23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</row>
    <row r="353" spans="1:34">
      <c r="A353" s="23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</row>
    <row r="354" spans="1:34">
      <c r="A354" s="23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</row>
    <row r="355" spans="1:34">
      <c r="A355" s="23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</row>
    <row r="356" spans="1:34">
      <c r="A356" s="23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</row>
    <row r="357" spans="1:34">
      <c r="A357" s="23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</row>
    <row r="358" spans="1:34">
      <c r="A358" s="23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</row>
    <row r="359" spans="1:34">
      <c r="A359" s="23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</row>
    <row r="360" spans="1:34">
      <c r="A360" s="23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</row>
    <row r="361" spans="1:34">
      <c r="A361" s="23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</row>
    <row r="362" spans="1:34">
      <c r="A362" s="23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</row>
    <row r="363" spans="1:34">
      <c r="A363" s="23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</row>
    <row r="364" spans="1:34">
      <c r="A364" s="23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</row>
    <row r="365" spans="1:34">
      <c r="A365" s="23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</row>
    <row r="366" spans="1:34">
      <c r="A366" s="23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</row>
    <row r="367" spans="1:34">
      <c r="A367" s="23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</row>
    <row r="368" spans="1:34">
      <c r="A368" s="23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</row>
    <row r="369" spans="1:34">
      <c r="A369" s="23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</row>
    <row r="370" spans="1:34">
      <c r="A370" s="23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</row>
    <row r="371" spans="1:34">
      <c r="A371" s="23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</row>
    <row r="372" spans="1:34">
      <c r="A372" s="23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</row>
    <row r="373" spans="1:34">
      <c r="A373" s="23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</row>
    <row r="374" spans="1:34">
      <c r="A374" s="23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</row>
    <row r="375" spans="1:34">
      <c r="A375" s="23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</row>
    <row r="376" spans="1:34">
      <c r="A376" s="23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</row>
    <row r="377" spans="1:34">
      <c r="A377" s="23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</row>
    <row r="378" spans="1:34">
      <c r="A378" s="23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</row>
    <row r="379" spans="1:34">
      <c r="A379" s="23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</row>
    <row r="380" spans="1:34">
      <c r="A380" s="23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</row>
    <row r="381" spans="1:34">
      <c r="A381" s="23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</row>
    <row r="382" spans="1:34">
      <c r="A382" s="23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</row>
    <row r="383" spans="1:34">
      <c r="A383" s="23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</row>
    <row r="384" spans="1:34">
      <c r="A384" s="23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</row>
    <row r="385" spans="1:34">
      <c r="A385" s="23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</row>
    <row r="386" spans="1:34">
      <c r="A386" s="23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</row>
    <row r="387" spans="1:34">
      <c r="A387" s="23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</row>
    <row r="388" spans="1:34">
      <c r="A388" s="23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</row>
    <row r="389" spans="1:34">
      <c r="A389" s="23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</row>
    <row r="390" spans="1:34">
      <c r="A390" s="23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</row>
    <row r="391" spans="1:34">
      <c r="A391" s="23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</row>
    <row r="392" spans="1:34">
      <c r="A392" s="23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</row>
    <row r="393" spans="1:34">
      <c r="A393" s="23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</row>
    <row r="394" spans="1:34">
      <c r="A394" s="23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</row>
    <row r="395" spans="1:34">
      <c r="A395" s="23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</row>
    <row r="396" spans="1:34">
      <c r="A396" s="23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</row>
    <row r="397" spans="1:34">
      <c r="A397" s="23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</row>
    <row r="398" spans="1:34">
      <c r="A398" s="23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</row>
    <row r="399" spans="1:34">
      <c r="A399" s="23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</row>
    <row r="400" spans="1:34">
      <c r="A400" s="23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</row>
    <row r="401" spans="1:34">
      <c r="A401" s="23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</row>
    <row r="402" spans="1:34">
      <c r="A402" s="23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</row>
    <row r="403" spans="1:34">
      <c r="A403" s="23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</row>
    <row r="404" spans="1:34">
      <c r="A404" s="23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</row>
    <row r="405" spans="1:34">
      <c r="A405" s="23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</row>
    <row r="406" spans="1:34">
      <c r="A406" s="23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</row>
    <row r="407" spans="1:34">
      <c r="A407" s="23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</row>
    <row r="408" spans="1:34">
      <c r="A408" s="23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</row>
    <row r="409" spans="1:34">
      <c r="A409" s="23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</row>
    <row r="410" spans="1:34">
      <c r="A410" s="23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</row>
    <row r="411" spans="1:34">
      <c r="A411" s="23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</row>
    <row r="412" spans="1:34">
      <c r="A412" s="23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</row>
    <row r="413" spans="1:34">
      <c r="A413" s="23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</row>
    <row r="414" spans="1:34">
      <c r="A414" s="23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</row>
    <row r="415" spans="1:34">
      <c r="A415" s="23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</row>
    <row r="416" spans="1:34">
      <c r="A416" s="23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</row>
    <row r="417" spans="1:34">
      <c r="A417" s="23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</row>
    <row r="418" spans="1:34">
      <c r="A418" s="23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</row>
    <row r="419" spans="1:34">
      <c r="A419" s="23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</row>
    <row r="420" spans="1:34">
      <c r="A420" s="23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</row>
    <row r="421" spans="1:34">
      <c r="A421" s="23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</row>
    <row r="422" spans="1:34">
      <c r="A422" s="23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</row>
    <row r="423" spans="1:34">
      <c r="A423" s="23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</row>
    <row r="424" spans="1:34">
      <c r="A424" s="23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</row>
    <row r="425" spans="1:34">
      <c r="A425" s="23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</row>
    <row r="426" spans="1:34">
      <c r="A426" s="23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</row>
    <row r="427" spans="1:34">
      <c r="A427" s="23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</row>
    <row r="428" spans="1:34">
      <c r="A428" s="23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</row>
    <row r="429" spans="1:34">
      <c r="A429" s="23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</row>
    <row r="430" spans="1:34">
      <c r="A430" s="23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</row>
    <row r="431" spans="1:34">
      <c r="A431" s="23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</row>
    <row r="432" spans="1:34">
      <c r="A432" s="23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</row>
    <row r="433" spans="1:34">
      <c r="A433" s="23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</row>
    <row r="434" spans="1:34">
      <c r="A434" s="23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</row>
    <row r="435" spans="1:34">
      <c r="A435" s="23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</row>
    <row r="436" spans="1:34">
      <c r="A436" s="23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</row>
    <row r="437" spans="1:34">
      <c r="A437" s="23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</row>
    <row r="438" spans="1:34">
      <c r="A438" s="23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</row>
    <row r="439" spans="1:34">
      <c r="A439" s="23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</row>
    <row r="440" spans="1:34">
      <c r="A440" s="23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</row>
    <row r="441" spans="1:34">
      <c r="A441" s="23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</row>
    <row r="442" spans="1:34">
      <c r="A442" s="23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</row>
    <row r="443" spans="1:34">
      <c r="A443" s="23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</row>
    <row r="444" spans="1:34">
      <c r="A444" s="23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</row>
    <row r="445" spans="1:34">
      <c r="A445" s="23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</row>
    <row r="446" spans="1:34">
      <c r="A446" s="23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</row>
    <row r="447" spans="1:34">
      <c r="A447" s="23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</row>
    <row r="448" spans="1:34">
      <c r="A448" s="23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</row>
    <row r="449" spans="1:34">
      <c r="A449" s="23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</row>
    <row r="450" spans="1:34">
      <c r="A450" s="23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</row>
    <row r="451" spans="1:34">
      <c r="A451" s="23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</row>
    <row r="452" spans="1:34">
      <c r="A452" s="23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</row>
    <row r="453" spans="1:34">
      <c r="A453" s="23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</row>
    <row r="454" spans="1:34">
      <c r="A454" s="23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</row>
    <row r="455" spans="1:34">
      <c r="A455" s="23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</row>
    <row r="456" spans="1:34">
      <c r="A456" s="23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</row>
    <row r="457" spans="1:34">
      <c r="A457" s="23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</row>
    <row r="458" spans="1:34">
      <c r="A458" s="23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</row>
    <row r="459" spans="1:34">
      <c r="A459" s="23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</row>
    <row r="460" spans="1:34">
      <c r="A460" s="23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</row>
    <row r="461" spans="1:34">
      <c r="A461" s="23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</row>
    <row r="462" spans="1:34">
      <c r="A462" s="23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</row>
    <row r="463" spans="1:34">
      <c r="A463" s="23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</row>
    <row r="464" spans="1:34">
      <c r="A464" s="23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</row>
    <row r="465" spans="1:34">
      <c r="A465" s="23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</row>
    <row r="466" spans="1:34">
      <c r="A466" s="23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</row>
    <row r="467" spans="1:34">
      <c r="A467" s="23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</row>
    <row r="468" spans="1:34">
      <c r="A468" s="23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</row>
    <row r="469" spans="1:34">
      <c r="A469" s="23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</row>
    <row r="470" spans="1:34">
      <c r="A470" s="23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</row>
    <row r="471" spans="1:34">
      <c r="A471" s="23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</row>
    <row r="472" spans="1:34">
      <c r="A472" s="23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</row>
    <row r="473" spans="1:34">
      <c r="A473" s="23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</row>
    <row r="474" spans="1:34">
      <c r="A474" s="23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</row>
    <row r="475" spans="1:34">
      <c r="A475" s="23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</row>
    <row r="476" spans="1:34">
      <c r="A476" s="23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</row>
    <row r="477" spans="1:34">
      <c r="A477" s="23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</row>
    <row r="478" spans="1:34">
      <c r="A478" s="23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</row>
    <row r="479" spans="1:34">
      <c r="A479" s="23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</row>
    <row r="480" spans="1:34">
      <c r="A480" s="23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</row>
    <row r="481" spans="1:34">
      <c r="A481" s="23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</row>
    <row r="482" spans="1:34">
      <c r="A482" s="23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</row>
    <row r="483" spans="1:34">
      <c r="A483" s="23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</row>
    <row r="484" spans="1:34">
      <c r="A484" s="23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</row>
    <row r="485" spans="1:34">
      <c r="A485" s="23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</row>
    <row r="486" spans="1:34">
      <c r="A486" s="23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</row>
    <row r="487" spans="1:34">
      <c r="A487" s="23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</row>
    <row r="488" spans="1:34">
      <c r="A488" s="23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</row>
    <row r="489" spans="1:34">
      <c r="A489" s="23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</row>
    <row r="490" spans="1:34">
      <c r="A490" s="23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</row>
    <row r="491" spans="1:34">
      <c r="A491" s="23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</row>
    <row r="492" spans="1:34">
      <c r="A492" s="23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</row>
    <row r="493" spans="1:34">
      <c r="A493" s="23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</row>
    <row r="494" spans="1:34">
      <c r="A494" s="23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</row>
    <row r="495" spans="1:34">
      <c r="A495" s="23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</row>
    <row r="496" spans="1:34">
      <c r="A496" s="23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</row>
    <row r="497" spans="1:34">
      <c r="A497" s="23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</row>
    <row r="498" spans="1:34">
      <c r="A498" s="23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</row>
    <row r="499" spans="1:34">
      <c r="A499" s="23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</row>
    <row r="500" spans="1:34">
      <c r="A500" s="23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</row>
    <row r="501" spans="1:34">
      <c r="A501" s="23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</row>
    <row r="502" spans="1:34">
      <c r="A502" s="23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</row>
    <row r="503" spans="1:34">
      <c r="A503" s="23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</row>
    <row r="504" spans="1:34">
      <c r="A504" s="23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</row>
    <row r="505" spans="1:34">
      <c r="A505" s="23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</row>
    <row r="506" spans="1:34">
      <c r="A506" s="23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</row>
    <row r="507" spans="1:34">
      <c r="A507" s="23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</row>
    <row r="508" spans="1:34">
      <c r="A508" s="23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</row>
    <row r="509" spans="1:34">
      <c r="A509" s="23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</row>
    <row r="510" spans="1:34">
      <c r="A510" s="23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</row>
    <row r="511" spans="1:34">
      <c r="A511" s="23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</row>
    <row r="512" spans="1:34">
      <c r="A512" s="23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</row>
    <row r="513" spans="1:34">
      <c r="A513" s="23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</row>
    <row r="514" spans="1:34">
      <c r="A514" s="23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</row>
    <row r="515" spans="1:34">
      <c r="A515" s="23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</row>
    <row r="516" spans="1:34">
      <c r="A516" s="23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</row>
    <row r="517" spans="1:34">
      <c r="A517" s="23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</row>
    <row r="518" spans="1:34">
      <c r="A518" s="23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</row>
    <row r="519" spans="1:34">
      <c r="A519" s="23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</row>
    <row r="520" spans="1:34">
      <c r="A520" s="23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</row>
    <row r="521" spans="1:34">
      <c r="A521" s="23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</row>
    <row r="522" spans="1:34">
      <c r="A522" s="23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</row>
    <row r="523" spans="1:34">
      <c r="A523" s="23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</row>
    <row r="524" spans="1:34">
      <c r="A524" s="23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</row>
    <row r="525" spans="1:34">
      <c r="A525" s="23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</row>
    <row r="526" spans="1:34">
      <c r="A526" s="23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</row>
    <row r="527" spans="1:34">
      <c r="A527" s="23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</row>
    <row r="528" spans="1:34">
      <c r="A528" s="23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</row>
    <row r="529" spans="1:34">
      <c r="A529" s="23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</row>
    <row r="530" spans="1:34">
      <c r="A530" s="23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</row>
    <row r="531" spans="1:34">
      <c r="A531" s="23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</row>
    <row r="532" spans="1:34">
      <c r="A532" s="23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</row>
    <row r="533" spans="1:34">
      <c r="A533" s="23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</row>
    <row r="534" spans="1:34">
      <c r="A534" s="23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</row>
    <row r="535" spans="1:34">
      <c r="A535" s="23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</row>
    <row r="536" spans="1:34">
      <c r="A536" s="23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</row>
    <row r="537" spans="1:34">
      <c r="A537" s="23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</row>
    <row r="538" spans="1:34">
      <c r="A538" s="23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</row>
    <row r="539" spans="1:34">
      <c r="A539" s="23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</row>
    <row r="540" spans="1:34">
      <c r="A540" s="23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</row>
    <row r="541" spans="1:34">
      <c r="A541" s="23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</row>
    <row r="542" spans="1:34">
      <c r="A542" s="23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</row>
    <row r="543" spans="1:34">
      <c r="A543" s="23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</row>
    <row r="544" spans="1:34">
      <c r="A544" s="23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</row>
    <row r="545" spans="1:34">
      <c r="A545" s="23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</row>
    <row r="546" spans="1:34">
      <c r="A546" s="23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</row>
    <row r="547" spans="1:34">
      <c r="A547" s="23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</row>
    <row r="548" spans="1:34">
      <c r="A548" s="23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</row>
    <row r="549" spans="1:34">
      <c r="A549" s="23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</row>
    <row r="550" spans="1:34">
      <c r="A550" s="23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</row>
    <row r="551" spans="1:34">
      <c r="A551" s="23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</row>
    <row r="552" spans="1:34">
      <c r="A552" s="23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</row>
    <row r="553" spans="1:34">
      <c r="A553" s="23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</row>
    <row r="554" spans="1:34">
      <c r="A554" s="23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</row>
    <row r="555" spans="1:34">
      <c r="A555" s="23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</row>
    <row r="556" spans="1:34">
      <c r="A556" s="23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</row>
    <row r="557" spans="1:34">
      <c r="A557" s="23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</row>
    <row r="558" spans="1:34">
      <c r="A558" s="23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</row>
    <row r="559" spans="1:34">
      <c r="A559" s="23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</row>
    <row r="560" spans="1:34">
      <c r="A560" s="23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</row>
    <row r="561" spans="1:34">
      <c r="A561" s="23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</row>
    <row r="562" spans="1:34">
      <c r="A562" s="23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</row>
    <row r="563" spans="1:34">
      <c r="A563" s="23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</row>
    <row r="564" spans="1:34">
      <c r="A564" s="23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</row>
    <row r="565" spans="1:34">
      <c r="A565" s="23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</row>
    <row r="566" spans="1:34">
      <c r="A566" s="23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</row>
    <row r="567" spans="1:34">
      <c r="A567" s="23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</row>
    <row r="568" spans="1:34">
      <c r="A568" s="23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</row>
    <row r="569" spans="1:34">
      <c r="A569" s="23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</row>
    <row r="570" spans="1:34">
      <c r="A570" s="23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</row>
    <row r="571" spans="1:34">
      <c r="A571" s="23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</row>
    <row r="572" spans="1:34">
      <c r="A572" s="23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</row>
    <row r="573" spans="1:34">
      <c r="A573" s="23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</row>
    <row r="574" spans="1:34">
      <c r="A574" s="23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</row>
    <row r="575" spans="1:34">
      <c r="A575" s="23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</row>
    <row r="576" spans="1:34">
      <c r="A576" s="23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</row>
    <row r="577" spans="1:34">
      <c r="A577" s="23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</row>
    <row r="578" spans="1:34">
      <c r="A578" s="23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</row>
    <row r="579" spans="1:34">
      <c r="A579" s="23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</row>
    <row r="580" spans="1:34">
      <c r="A580" s="23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</row>
    <row r="581" spans="1:34">
      <c r="A581" s="23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</row>
    <row r="582" spans="1:34">
      <c r="A582" s="23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</row>
    <row r="583" spans="1:34">
      <c r="A583" s="23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</row>
    <row r="584" spans="1:34">
      <c r="A584" s="23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</row>
    <row r="585" spans="1:34">
      <c r="A585" s="23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</row>
    <row r="586" spans="1:34">
      <c r="A586" s="23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</row>
    <row r="587" spans="1:34">
      <c r="A587" s="23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</row>
    <row r="588" spans="1:34">
      <c r="A588" s="23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</row>
    <row r="589" spans="1:34">
      <c r="A589" s="23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</row>
    <row r="590" spans="1:34">
      <c r="A590" s="23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</row>
    <row r="591" spans="1:34">
      <c r="A591" s="23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</row>
    <row r="592" spans="1:34">
      <c r="A592" s="23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</row>
    <row r="593" spans="1:34">
      <c r="A593" s="23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</row>
    <row r="594" spans="1:34">
      <c r="A594" s="23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</row>
    <row r="595" spans="1:34">
      <c r="A595" s="23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</row>
    <row r="596" spans="1:34">
      <c r="A596" s="23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</row>
    <row r="597" spans="1:34">
      <c r="A597" s="23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</row>
    <row r="598" spans="1:34">
      <c r="A598" s="23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</row>
    <row r="599" spans="1:34">
      <c r="A599" s="23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</row>
    <row r="600" spans="1:34">
      <c r="A600" s="23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</row>
    <row r="601" spans="1:34">
      <c r="A601" s="23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</row>
    <row r="602" spans="1:34">
      <c r="A602" s="23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</row>
    <row r="603" spans="1:34">
      <c r="A603" s="23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</row>
    <row r="604" spans="1:34">
      <c r="A604" s="23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</row>
    <row r="605" spans="1:34">
      <c r="A605" s="23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</row>
    <row r="606" spans="1:34">
      <c r="A606" s="23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</row>
    <row r="607" spans="1:34">
      <c r="A607" s="23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</row>
    <row r="608" spans="1:34">
      <c r="A608" s="23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</row>
    <row r="609" spans="1:34">
      <c r="A609" s="23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</row>
    <row r="610" spans="1:34">
      <c r="A610" s="23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</row>
    <row r="611" spans="1:34">
      <c r="A611" s="23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</row>
    <row r="612" spans="1:34">
      <c r="A612" s="23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</row>
    <row r="613" spans="1:34">
      <c r="A613" s="23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</row>
    <row r="614" spans="1:34">
      <c r="A614" s="23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</row>
    <row r="615" spans="1:34">
      <c r="A615" s="23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</row>
    <row r="616" spans="1:34">
      <c r="A616" s="23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</row>
    <row r="617" spans="1:34">
      <c r="A617" s="23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</row>
    <row r="618" spans="1:34">
      <c r="A618" s="23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</row>
    <row r="619" spans="1:34">
      <c r="A619" s="23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</row>
    <row r="620" spans="1:34">
      <c r="A620" s="23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</row>
    <row r="621" spans="1:34">
      <c r="A621" s="23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</row>
    <row r="622" spans="1:34">
      <c r="A622" s="23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</row>
    <row r="623" spans="1:34">
      <c r="A623" s="23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</row>
    <row r="624" spans="1:34">
      <c r="A624" s="23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</row>
    <row r="625" spans="1:34">
      <c r="A625" s="23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</row>
    <row r="626" spans="1:34">
      <c r="A626" s="23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</row>
    <row r="627" spans="1:34">
      <c r="A627" s="23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</row>
    <row r="628" spans="1:34">
      <c r="A628" s="23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</row>
    <row r="629" spans="1:34">
      <c r="A629" s="23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</row>
    <row r="630" spans="1:34">
      <c r="A630" s="23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</row>
    <row r="631" spans="1:34">
      <c r="A631" s="23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</row>
    <row r="632" spans="1:34">
      <c r="A632" s="23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</row>
    <row r="633" spans="1:34">
      <c r="A633" s="23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</row>
    <row r="634" spans="1:34">
      <c r="A634" s="23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</row>
    <row r="635" spans="1:34">
      <c r="A635" s="23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</row>
    <row r="636" spans="1:34">
      <c r="A636" s="23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</row>
    <row r="637" spans="1:34">
      <c r="A637" s="23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</row>
    <row r="638" spans="1:34">
      <c r="A638" s="23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</row>
    <row r="639" spans="1:34">
      <c r="A639" s="23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</row>
    <row r="640" spans="1:34">
      <c r="A640" s="23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</row>
    <row r="641" spans="1:34">
      <c r="A641" s="23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</row>
    <row r="642" spans="1:34">
      <c r="A642" s="23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</row>
    <row r="643" spans="1:34">
      <c r="A643" s="23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</row>
    <row r="644" spans="1:34">
      <c r="A644" s="23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</row>
    <row r="645" spans="1:34">
      <c r="A645" s="23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</row>
    <row r="646" spans="1:34">
      <c r="A646" s="23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</row>
    <row r="647" spans="1:34">
      <c r="A647" s="23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</row>
    <row r="648" spans="1:34">
      <c r="A648" s="23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</row>
    <row r="649" spans="1:34">
      <c r="A649" s="23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</row>
    <row r="650" spans="1:34">
      <c r="A650" s="23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</row>
    <row r="651" spans="1:34">
      <c r="A651" s="23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</row>
    <row r="652" spans="1:34">
      <c r="A652" s="23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</row>
    <row r="653" spans="1:34">
      <c r="A653" s="23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</row>
    <row r="654" spans="1:34">
      <c r="A654" s="23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</row>
    <row r="655" spans="1:34">
      <c r="A655" s="23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</row>
    <row r="656" spans="1:34">
      <c r="A656" s="23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</row>
    <row r="657" spans="1:34">
      <c r="A657" s="23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</row>
    <row r="658" spans="1:34">
      <c r="A658" s="23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</row>
    <row r="659" spans="1:34">
      <c r="A659" s="23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</row>
    <row r="660" spans="1:34">
      <c r="A660" s="23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</row>
    <row r="661" spans="1:34">
      <c r="A661" s="23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</row>
    <row r="662" spans="1:34">
      <c r="A662" s="23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</row>
    <row r="663" spans="1:34">
      <c r="A663" s="23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</row>
    <row r="664" spans="1:34">
      <c r="A664" s="23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</row>
    <row r="665" spans="1:34">
      <c r="A665" s="23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</row>
    <row r="666" spans="1:34">
      <c r="A666" s="23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</row>
    <row r="667" spans="1:34">
      <c r="A667" s="23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</row>
    <row r="668" spans="1:34">
      <c r="A668" s="23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</row>
    <row r="669" spans="1:34">
      <c r="A669" s="23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</row>
    <row r="670" spans="1:34">
      <c r="A670" s="23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</row>
    <row r="671" spans="1:34">
      <c r="A671" s="23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</row>
    <row r="672" spans="1:34">
      <c r="A672" s="23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</row>
    <row r="673" spans="1:34">
      <c r="A673" s="23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</row>
    <row r="674" spans="1:34">
      <c r="A674" s="23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</row>
    <row r="675" spans="1:34">
      <c r="A675" s="23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</row>
    <row r="676" spans="1:34">
      <c r="A676" s="23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</row>
    <row r="677" spans="1:34">
      <c r="A677" s="23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</row>
    <row r="678" spans="1:34">
      <c r="A678" s="23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</row>
    <row r="679" spans="1:34">
      <c r="A679" s="23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</row>
    <row r="680" spans="1:34">
      <c r="A680" s="23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</row>
    <row r="681" spans="1:34">
      <c r="A681" s="23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</row>
    <row r="682" spans="1:34">
      <c r="A682" s="23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</row>
    <row r="683" spans="1:34">
      <c r="A683" s="23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</row>
    <row r="684" spans="1:34">
      <c r="A684" s="23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</row>
    <row r="685" spans="1:34">
      <c r="A685" s="23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</row>
    <row r="686" spans="1:34">
      <c r="A686" s="23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</row>
    <row r="687" spans="1:34">
      <c r="A687" s="23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</row>
    <row r="688" spans="1:34">
      <c r="A688" s="23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</row>
    <row r="689" spans="1:34">
      <c r="A689" s="23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</row>
    <row r="690" spans="1:34">
      <c r="A690" s="23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</row>
    <row r="691" spans="1:34">
      <c r="A691" s="23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</row>
    <row r="692" spans="1:34">
      <c r="A692" s="23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</row>
    <row r="693" spans="1:34">
      <c r="A693" s="23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</row>
    <row r="694" spans="1:34">
      <c r="A694" s="23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</row>
    <row r="695" spans="1:34">
      <c r="A695" s="23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</row>
    <row r="696" spans="1:34">
      <c r="A696" s="23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</row>
    <row r="697" spans="1:34">
      <c r="A697" s="23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</row>
    <row r="698" spans="1:34">
      <c r="A698" s="23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</row>
    <row r="699" spans="1:34">
      <c r="A699" s="23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</row>
    <row r="700" spans="1:34">
      <c r="A700" s="23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</row>
    <row r="701" spans="1:34">
      <c r="A701" s="23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</row>
    <row r="702" spans="1:34">
      <c r="A702" s="23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</row>
    <row r="703" spans="1:34">
      <c r="A703" s="23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</row>
    <row r="704" spans="1:34">
      <c r="A704" s="23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</row>
    <row r="705" spans="1:34">
      <c r="A705" s="23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</row>
    <row r="706" spans="1:34">
      <c r="A706" s="23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</row>
    <row r="707" spans="1:34">
      <c r="A707" s="23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</row>
    <row r="708" spans="1:34">
      <c r="A708" s="23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</row>
    <row r="709" spans="1:34">
      <c r="A709" s="23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</row>
    <row r="710" spans="1:34">
      <c r="A710" s="23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</row>
    <row r="711" spans="1:34">
      <c r="A711" s="23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</row>
    <row r="712" spans="1:34">
      <c r="A712" s="23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</row>
    <row r="713" spans="1:34">
      <c r="A713" s="23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</row>
    <row r="714" spans="1:34">
      <c r="A714" s="23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</row>
    <row r="715" spans="1:34">
      <c r="A715" s="23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</row>
    <row r="716" spans="1:34">
      <c r="A716" s="23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</row>
    <row r="717" spans="1:34">
      <c r="A717" s="23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</row>
    <row r="718" spans="1:34">
      <c r="A718" s="23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</row>
    <row r="719" spans="1:34">
      <c r="A719" s="23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</row>
    <row r="720" spans="1:34">
      <c r="A720" s="23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</row>
    <row r="721" spans="1:34">
      <c r="A721" s="23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</row>
    <row r="722" spans="1:34">
      <c r="A722" s="23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</row>
    <row r="723" spans="1:34">
      <c r="A723" s="23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</row>
    <row r="724" spans="1:34">
      <c r="A724" s="23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</row>
    <row r="725" spans="1:34">
      <c r="A725" s="23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</row>
    <row r="726" spans="1:34">
      <c r="A726" s="23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</row>
    <row r="727" spans="1:34">
      <c r="A727" s="23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</row>
    <row r="728" spans="1:34">
      <c r="A728" s="23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</row>
    <row r="729" spans="1:34">
      <c r="A729" s="23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</row>
    <row r="730" spans="1:34">
      <c r="A730" s="23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</row>
    <row r="731" spans="1:34">
      <c r="A731" s="23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</row>
    <row r="732" spans="1:34">
      <c r="A732" s="23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</row>
    <row r="733" spans="1:34">
      <c r="A733" s="23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</row>
    <row r="734" spans="1:34">
      <c r="A734" s="23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</row>
    <row r="735" spans="1:34">
      <c r="A735" s="23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</row>
    <row r="736" spans="1:34">
      <c r="A736" s="23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</row>
    <row r="737" spans="1:34">
      <c r="A737" s="23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</row>
    <row r="738" spans="1:34">
      <c r="A738" s="23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</row>
    <row r="739" spans="1:34">
      <c r="A739" s="23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</row>
    <row r="740" spans="1:34">
      <c r="A740" s="23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</row>
    <row r="741" spans="1:34">
      <c r="A741" s="23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</row>
    <row r="742" spans="1:34">
      <c r="A742" s="23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</row>
    <row r="743" spans="1:34">
      <c r="A743" s="23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</row>
    <row r="744" spans="1:34">
      <c r="A744" s="23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</row>
    <row r="745" spans="1:34">
      <c r="A745" s="23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</row>
    <row r="746" spans="1:34">
      <c r="A746" s="23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</row>
    <row r="747" spans="1:34">
      <c r="A747" s="23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</row>
    <row r="748" spans="1:34">
      <c r="A748" s="23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</row>
    <row r="749" spans="1:34">
      <c r="A749" s="23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</row>
    <row r="750" spans="1:34">
      <c r="A750" s="23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</row>
    <row r="751" spans="1:34">
      <c r="A751" s="23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</row>
    <row r="752" spans="1:34">
      <c r="A752" s="23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</row>
    <row r="753" spans="1:34">
      <c r="A753" s="23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</row>
    <row r="754" spans="1:34">
      <c r="A754" s="23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</row>
    <row r="755" spans="1:34">
      <c r="A755" s="23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</row>
    <row r="756" spans="1:34">
      <c r="A756" s="23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</row>
    <row r="757" spans="1:34">
      <c r="A757" s="23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</row>
    <row r="758" spans="1:34">
      <c r="A758" s="23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</row>
    <row r="759" spans="1:34">
      <c r="A759" s="23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</row>
    <row r="760" spans="1:34">
      <c r="A760" s="23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</row>
    <row r="761" spans="1:34">
      <c r="A761" s="23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</row>
    <row r="762" spans="1:34">
      <c r="A762" s="23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</row>
    <row r="763" spans="1:34">
      <c r="A763" s="23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</row>
    <row r="764" spans="1:34">
      <c r="A764" s="23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</row>
    <row r="765" spans="1:34">
      <c r="A765" s="23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</row>
    <row r="766" spans="1:34">
      <c r="A766" s="23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</row>
    <row r="767" spans="1:34">
      <c r="A767" s="23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</row>
    <row r="768" spans="1:34">
      <c r="A768" s="23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</row>
    <row r="769" spans="1:34">
      <c r="A769" s="23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</row>
    <row r="770" spans="1:34">
      <c r="A770" s="23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</row>
    <row r="771" spans="1:34">
      <c r="A771" s="23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</row>
    <row r="772" spans="1:34">
      <c r="A772" s="23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</row>
    <row r="773" spans="1:34">
      <c r="A773" s="23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</row>
    <row r="774" spans="1:34">
      <c r="A774" s="23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</row>
    <row r="775" spans="1:34">
      <c r="A775" s="23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</row>
    <row r="776" spans="1:34">
      <c r="A776" s="23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</row>
    <row r="777" spans="1:34">
      <c r="A777" s="23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</row>
    <row r="778" spans="1:34">
      <c r="A778" s="23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</row>
    <row r="779" spans="1:34">
      <c r="A779" s="23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</row>
    <row r="780" spans="1:34">
      <c r="A780" s="23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</row>
    <row r="781" spans="1:34">
      <c r="A781" s="23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</row>
    <row r="782" spans="1:34">
      <c r="A782" s="23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</row>
    <row r="783" spans="1:34">
      <c r="A783" s="23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</row>
    <row r="784" spans="1:34">
      <c r="A784" s="23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</row>
    <row r="785" spans="1:34">
      <c r="A785" s="23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</row>
    <row r="786" spans="1:34">
      <c r="A786" s="23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</row>
    <row r="787" spans="1:34">
      <c r="A787" s="23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</row>
    <row r="788" spans="1:34">
      <c r="A788" s="23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</row>
    <row r="789" spans="1:34">
      <c r="A789" s="23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</row>
    <row r="790" spans="1:34">
      <c r="A790" s="23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</row>
    <row r="791" spans="1:34">
      <c r="A791" s="23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</row>
    <row r="792" spans="1:34">
      <c r="A792" s="23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</row>
    <row r="793" spans="1:34">
      <c r="A793" s="23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</row>
    <row r="794" spans="1:34">
      <c r="A794" s="23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</row>
    <row r="795" spans="1:34">
      <c r="A795" s="23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</row>
    <row r="796" spans="1:34">
      <c r="A796" s="23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</row>
    <row r="797" spans="1:34">
      <c r="A797" s="23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</row>
    <row r="798" spans="1:34">
      <c r="A798" s="23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</row>
    <row r="799" spans="1:34">
      <c r="A799" s="23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</row>
    <row r="800" spans="1:34">
      <c r="A800" s="23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</row>
    <row r="801" spans="1:34">
      <c r="A801" s="23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</row>
    <row r="802" spans="1:34">
      <c r="A802" s="23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</row>
    <row r="803" spans="1:34">
      <c r="A803" s="23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</row>
    <row r="804" spans="1:34">
      <c r="A804" s="23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</row>
    <row r="805" spans="1:34">
      <c r="A805" s="23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</row>
    <row r="806" spans="1:34">
      <c r="A806" s="23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</row>
    <row r="807" spans="1:34">
      <c r="A807" s="23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</row>
    <row r="808" spans="1:34">
      <c r="A808" s="23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</row>
    <row r="809" spans="1:34">
      <c r="A809" s="23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</row>
    <row r="810" spans="1:34">
      <c r="A810" s="23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</row>
    <row r="811" spans="1:34">
      <c r="A811" s="23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</row>
    <row r="812" spans="1:34">
      <c r="A812" s="23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</row>
    <row r="813" spans="1:34">
      <c r="A813" s="23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</row>
    <row r="814" spans="1:34">
      <c r="A814" s="23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</row>
    <row r="815" spans="1:34">
      <c r="A815" s="23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</row>
    <row r="816" spans="1:34">
      <c r="A816" s="23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</row>
    <row r="817" spans="1:34">
      <c r="A817" s="23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</row>
    <row r="818" spans="1:34">
      <c r="A818" s="23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</row>
    <row r="819" spans="1:34">
      <c r="A819" s="23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</row>
    <row r="820" spans="1:34">
      <c r="A820" s="23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</row>
    <row r="821" spans="1:34">
      <c r="A821" s="23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</row>
    <row r="822" spans="1:34">
      <c r="A822" s="23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</row>
    <row r="823" spans="1:34">
      <c r="A823" s="23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</row>
    <row r="824" spans="1:34">
      <c r="A824" s="23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</row>
    <row r="825" spans="1:34">
      <c r="A825" s="23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</row>
    <row r="826" spans="1:34">
      <c r="A826" s="23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</row>
    <row r="827" spans="1:34">
      <c r="A827" s="23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</row>
    <row r="828" spans="1:34">
      <c r="A828" s="23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</row>
    <row r="829" spans="1:34">
      <c r="A829" s="23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</row>
    <row r="830" spans="1:34">
      <c r="A830" s="23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</row>
    <row r="831" spans="1:34">
      <c r="A831" s="23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</row>
    <row r="832" spans="1:34">
      <c r="A832" s="23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</row>
    <row r="833" spans="1:34">
      <c r="A833" s="23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</row>
    <row r="834" spans="1:34">
      <c r="A834" s="23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</row>
    <row r="835" spans="1:34">
      <c r="A835" s="23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</row>
    <row r="836" spans="1:34">
      <c r="A836" s="23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</row>
    <row r="837" spans="1:34">
      <c r="A837" s="23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</row>
    <row r="838" spans="1:34">
      <c r="A838" s="23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</row>
    <row r="839" spans="1:34">
      <c r="A839" s="23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</row>
    <row r="840" spans="1:34">
      <c r="A840" s="23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</row>
    <row r="841" spans="1:34">
      <c r="A841" s="23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</row>
    <row r="842" spans="1:34">
      <c r="A842" s="23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</row>
    <row r="843" spans="1:34">
      <c r="A843" s="23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</row>
    <row r="844" spans="1:34">
      <c r="A844" s="23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</row>
    <row r="845" spans="1:34">
      <c r="A845" s="23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</row>
    <row r="846" spans="1:34">
      <c r="A846" s="23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</row>
    <row r="847" spans="1:34">
      <c r="A847" s="23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</row>
    <row r="848" spans="1:34">
      <c r="A848" s="23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</row>
    <row r="849" spans="1:34">
      <c r="A849" s="23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</row>
    <row r="850" spans="1:34">
      <c r="A850" s="23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</row>
    <row r="851" spans="1:34">
      <c r="A851" s="23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</row>
    <row r="852" spans="1:34">
      <c r="A852" s="23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</row>
    <row r="853" spans="1:34">
      <c r="A853" s="23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</row>
    <row r="854" spans="1:34">
      <c r="A854" s="23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</row>
    <row r="855" spans="1:34">
      <c r="A855" s="23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</row>
    <row r="856" spans="1:34">
      <c r="A856" s="23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</row>
    <row r="857" spans="1:34">
      <c r="A857" s="23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</row>
    <row r="858" spans="1:34">
      <c r="A858" s="23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</row>
    <row r="859" spans="1:34">
      <c r="A859" s="23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</row>
    <row r="860" spans="1:34">
      <c r="A860" s="23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</row>
    <row r="861" spans="1:34">
      <c r="A861" s="23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</row>
    <row r="862" spans="1:34">
      <c r="A862" s="23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</row>
    <row r="863" spans="1:34">
      <c r="A863" s="23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</row>
    <row r="864" spans="1:34">
      <c r="A864" s="23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</row>
    <row r="865" spans="1:34">
      <c r="A865" s="23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</row>
    <row r="866" spans="1:34">
      <c r="A866" s="23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</row>
    <row r="867" spans="1:34">
      <c r="A867" s="23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</row>
    <row r="868" spans="1:34">
      <c r="A868" s="23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</row>
    <row r="869" spans="1:34">
      <c r="A869" s="23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</row>
    <row r="870" spans="1:34">
      <c r="A870" s="23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</row>
    <row r="871" spans="1:34">
      <c r="A871" s="23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</row>
    <row r="872" spans="1:34">
      <c r="A872" s="23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</row>
    <row r="873" spans="1:34">
      <c r="A873" s="23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</row>
    <row r="874" spans="1:34">
      <c r="A874" s="23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</row>
    <row r="875" spans="1:34">
      <c r="A875" s="23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</row>
    <row r="876" spans="1:34">
      <c r="A876" s="23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</row>
    <row r="877" spans="1:34">
      <c r="A877" s="23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</row>
    <row r="878" spans="1:34">
      <c r="A878" s="23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</row>
    <row r="879" spans="1:34">
      <c r="A879" s="23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</row>
    <row r="880" spans="1:34">
      <c r="A880" s="23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</row>
    <row r="881" spans="1:34">
      <c r="A881" s="23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</row>
    <row r="882" spans="1:34">
      <c r="A882" s="23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</row>
    <row r="883" spans="1:34">
      <c r="A883" s="23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</row>
    <row r="884" spans="1:34">
      <c r="A884" s="23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</row>
    <row r="885" spans="1:34">
      <c r="A885" s="23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</row>
    <row r="886" spans="1:34">
      <c r="A886" s="23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</row>
    <row r="887" spans="1:34">
      <c r="A887" s="23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</row>
    <row r="888" spans="1:34">
      <c r="A888" s="23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</row>
    <row r="889" spans="1:34">
      <c r="A889" s="23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</row>
    <row r="890" spans="1:34">
      <c r="A890" s="23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</row>
    <row r="891" spans="1:34">
      <c r="A891" s="23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</row>
    <row r="892" spans="1:34">
      <c r="A892" s="23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</row>
    <row r="893" spans="1:34">
      <c r="A893" s="23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</row>
    <row r="894" spans="1:34">
      <c r="A894" s="23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</row>
    <row r="895" spans="1:34">
      <c r="A895" s="23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</row>
    <row r="896" spans="1:34">
      <c r="A896" s="23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</row>
    <row r="897" spans="1:34">
      <c r="A897" s="23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</row>
    <row r="898" spans="1:34">
      <c r="A898" s="23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</row>
    <row r="899" spans="1:34">
      <c r="A899" s="23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</row>
    <row r="900" spans="1:34">
      <c r="A900" s="23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</row>
    <row r="901" spans="1:34">
      <c r="A901" s="23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</row>
    <row r="902" spans="1:34">
      <c r="A902" s="23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</row>
    <row r="903" spans="1:34">
      <c r="A903" s="23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</row>
    <row r="904" spans="1:34">
      <c r="A904" s="23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</row>
    <row r="905" spans="1:34">
      <c r="A905" s="23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</row>
    <row r="906" spans="1:34">
      <c r="A906" s="23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</row>
    <row r="907" spans="1:34">
      <c r="A907" s="23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</row>
    <row r="908" spans="1:34">
      <c r="A908" s="23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</row>
    <row r="909" spans="1:34">
      <c r="A909" s="23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</row>
    <row r="910" spans="1:34">
      <c r="A910" s="23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</row>
    <row r="911" spans="1:34">
      <c r="A911" s="23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</row>
    <row r="912" spans="1:34">
      <c r="A912" s="23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</row>
    <row r="913" spans="1:34">
      <c r="A913" s="23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</row>
    <row r="914" spans="1:34">
      <c r="A914" s="23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</row>
    <row r="915" spans="1:34">
      <c r="A915" s="23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</row>
    <row r="916" spans="1:34">
      <c r="A916" s="23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</row>
    <row r="917" spans="1:34">
      <c r="A917" s="23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</row>
    <row r="918" spans="1:34">
      <c r="A918" s="23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</row>
    <row r="919" spans="1:34">
      <c r="A919" s="23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</row>
    <row r="920" spans="1:34">
      <c r="A920" s="23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</row>
    <row r="921" spans="1:34">
      <c r="A921" s="23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</row>
    <row r="922" spans="1:34">
      <c r="A922" s="23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</row>
    <row r="923" spans="1:34">
      <c r="A923" s="23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</row>
    <row r="924" spans="1:34">
      <c r="A924" s="23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</row>
    <row r="925" spans="1:34">
      <c r="A925" s="23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</row>
    <row r="926" spans="1:34">
      <c r="A926" s="23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</row>
    <row r="927" spans="1:34">
      <c r="A927" s="23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</row>
    <row r="928" spans="1:34">
      <c r="A928" s="23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</row>
    <row r="929" spans="1:34">
      <c r="A929" s="23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</row>
    <row r="930" spans="1:34">
      <c r="A930" s="23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</row>
    <row r="931" spans="1:34">
      <c r="A931" s="23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</row>
    <row r="932" spans="1:34">
      <c r="A932" s="23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</row>
    <row r="933" spans="1:34">
      <c r="A933" s="23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</row>
    <row r="934" spans="1:34">
      <c r="A934" s="23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</row>
    <row r="935" spans="1:34">
      <c r="A935" s="23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</row>
    <row r="936" spans="1:34">
      <c r="A936" s="23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</row>
    <row r="937" spans="1:34">
      <c r="A937" s="23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</row>
    <row r="938" spans="1:34">
      <c r="A938" s="23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</row>
    <row r="939" spans="1:34">
      <c r="A939" s="23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</row>
    <row r="940" spans="1:34">
      <c r="A940" s="23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</row>
    <row r="941" spans="1:34">
      <c r="A941" s="23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</row>
    <row r="942" spans="1:34">
      <c r="A942" s="23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</row>
    <row r="943" spans="1:34">
      <c r="A943" s="23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</row>
    <row r="944" spans="1:34">
      <c r="A944" s="23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</row>
    <row r="945" spans="1:34">
      <c r="A945" s="23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</row>
    <row r="946" spans="1:34">
      <c r="A946" s="23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</row>
    <row r="947" spans="1:34">
      <c r="A947" s="23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</row>
    <row r="948" spans="1:34">
      <c r="A948" s="23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</row>
    <row r="949" spans="1:34">
      <c r="A949" s="23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</row>
    <row r="950" spans="1:34">
      <c r="A950" s="23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</row>
    <row r="951" spans="1:34">
      <c r="A951" s="23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</row>
    <row r="952" spans="1:34">
      <c r="A952" s="23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</row>
    <row r="953" spans="1:34">
      <c r="A953" s="23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</row>
    <row r="954" spans="1:34">
      <c r="A954" s="23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</row>
    <row r="955" spans="1:34">
      <c r="A955" s="23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</row>
    <row r="956" spans="1:34">
      <c r="A956" s="23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</row>
    <row r="957" spans="1:34">
      <c r="A957" s="23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</row>
    <row r="958" spans="1:34">
      <c r="A958" s="23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</row>
    <row r="959" spans="1:34">
      <c r="A959" s="23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</row>
    <row r="960" spans="1:34">
      <c r="A960" s="23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</row>
    <row r="961" spans="1:34">
      <c r="A961" s="23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</row>
    <row r="962" spans="1:34">
      <c r="A962" s="23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</row>
    <row r="963" spans="1:34">
      <c r="A963" s="23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</row>
    <row r="964" spans="1:34">
      <c r="A964" s="23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</row>
    <row r="965" spans="1:34">
      <c r="A965" s="23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</row>
    <row r="966" spans="1:34">
      <c r="A966" s="23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</row>
    <row r="967" spans="1:34">
      <c r="A967" s="23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</row>
    <row r="968" spans="1:34">
      <c r="A968" s="23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</row>
    <row r="969" spans="1:34">
      <c r="A969" s="23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</row>
    <row r="970" spans="1:34">
      <c r="A970" s="23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</row>
    <row r="971" spans="1:34">
      <c r="A971" s="23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</row>
    <row r="972" spans="1:34">
      <c r="A972" s="23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</row>
    <row r="973" spans="1:34">
      <c r="A973" s="23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</row>
    <row r="974" spans="1:34">
      <c r="A974" s="23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</row>
    <row r="975" spans="1:34">
      <c r="A975" s="23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</row>
    <row r="976" spans="1:34">
      <c r="A976" s="23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</row>
    <row r="977" spans="1:34">
      <c r="A977" s="23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</row>
    <row r="978" spans="1:34">
      <c r="A978" s="23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</row>
    <row r="979" spans="1:34">
      <c r="A979" s="23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</row>
    <row r="980" spans="1:34">
      <c r="A980" s="23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</row>
    <row r="981" spans="1:34">
      <c r="A981" s="23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</row>
    <row r="982" spans="1:34">
      <c r="A982" s="23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</row>
    <row r="983" spans="1:34">
      <c r="A983" s="23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</row>
    <row r="984" spans="1:34">
      <c r="A984" s="23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</row>
    <row r="985" spans="1:34">
      <c r="A985" s="23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</row>
    <row r="986" spans="1:34">
      <c r="A986" s="23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</row>
    <row r="987" spans="1:34">
      <c r="A987" s="23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</row>
    <row r="988" spans="1:34">
      <c r="A988" s="23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</row>
    <row r="989" spans="1:34">
      <c r="A989" s="23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</row>
    <row r="990" spans="1:34">
      <c r="A990" s="23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</row>
    <row r="991" spans="1:34">
      <c r="A991" s="23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</row>
    <row r="992" spans="1:34">
      <c r="A992" s="23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</row>
    <row r="993" spans="1:34">
      <c r="A993" s="23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</row>
    <row r="994" spans="1:34">
      <c r="A994" s="23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</row>
    <row r="995" spans="1:34">
      <c r="A995" s="23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117"/>
  <sheetViews>
    <sheetView workbookViewId="0"/>
  </sheetViews>
  <sheetFormatPr defaultColWidth="12.5703125" defaultRowHeight="15.75" customHeight="1"/>
  <cols>
    <col min="1" max="1" width="28.7109375" customWidth="1"/>
    <col min="2" max="2" width="66.7109375" customWidth="1"/>
    <col min="3" max="3" width="18.140625" customWidth="1"/>
    <col min="4" max="4" width="17.28515625" customWidth="1"/>
  </cols>
  <sheetData>
    <row r="1" spans="1:5">
      <c r="A1" s="34" t="s">
        <v>106</v>
      </c>
      <c r="B1" s="34" t="s">
        <v>107</v>
      </c>
      <c r="C1" s="35" t="s">
        <v>108</v>
      </c>
      <c r="D1" s="36" t="s">
        <v>109</v>
      </c>
      <c r="E1" s="37"/>
    </row>
    <row r="2" spans="1:5">
      <c r="A2" s="38" t="s">
        <v>110</v>
      </c>
      <c r="B2" s="39" t="s">
        <v>111</v>
      </c>
      <c r="C2" s="40">
        <v>30624949000000</v>
      </c>
      <c r="D2" s="40">
        <v>20012700000000</v>
      </c>
      <c r="E2" s="37"/>
    </row>
    <row r="3" spans="1:5">
      <c r="A3" s="38" t="s">
        <v>110</v>
      </c>
      <c r="B3" s="41" t="s">
        <v>112</v>
      </c>
      <c r="C3" s="40">
        <v>-6170628000000</v>
      </c>
      <c r="D3" s="40">
        <v>-3962779000000</v>
      </c>
      <c r="E3" s="37"/>
    </row>
    <row r="4" spans="1:5">
      <c r="A4" s="38" t="s">
        <v>110</v>
      </c>
      <c r="B4" s="41" t="s">
        <v>113</v>
      </c>
      <c r="C4" s="40">
        <v>-99725000000</v>
      </c>
      <c r="D4" s="40">
        <v>-63095000000</v>
      </c>
      <c r="E4" s="37"/>
    </row>
    <row r="5" spans="1:5">
      <c r="A5" s="38" t="s">
        <v>110</v>
      </c>
      <c r="B5" s="41" t="s">
        <v>114</v>
      </c>
      <c r="C5" s="40">
        <v>-6270353000000</v>
      </c>
      <c r="D5" s="40">
        <v>-4025874000000</v>
      </c>
      <c r="E5" s="37"/>
    </row>
    <row r="6" spans="1:5">
      <c r="A6" s="38" t="s">
        <v>110</v>
      </c>
      <c r="B6" s="42" t="s">
        <v>81</v>
      </c>
      <c r="C6" s="40">
        <v>24354596000000</v>
      </c>
      <c r="D6" s="40">
        <v>15986826000000</v>
      </c>
      <c r="E6" s="37"/>
    </row>
    <row r="7" spans="1:5">
      <c r="A7" s="38" t="s">
        <v>110</v>
      </c>
      <c r="B7" s="41" t="s">
        <v>115</v>
      </c>
      <c r="C7" s="40">
        <v>-364666000000</v>
      </c>
      <c r="D7" s="40">
        <v>-208031000000</v>
      </c>
      <c r="E7" s="37"/>
    </row>
    <row r="8" spans="1:5">
      <c r="A8" s="38" t="s">
        <v>110</v>
      </c>
      <c r="B8" s="42" t="s">
        <v>116</v>
      </c>
      <c r="C8" s="40">
        <v>23989930000000</v>
      </c>
      <c r="D8" s="40">
        <v>15778795000000</v>
      </c>
      <c r="E8" s="37"/>
    </row>
    <row r="9" spans="1:5">
      <c r="A9" s="38" t="s">
        <v>110</v>
      </c>
      <c r="B9" s="42" t="s">
        <v>117</v>
      </c>
      <c r="C9" s="40">
        <v>3024</v>
      </c>
      <c r="D9" s="40">
        <v>1989</v>
      </c>
      <c r="E9" s="37"/>
    </row>
    <row r="10" spans="1:5">
      <c r="A10" s="38" t="s">
        <v>110</v>
      </c>
      <c r="B10" s="42" t="s">
        <v>61</v>
      </c>
      <c r="C10" s="40">
        <v>101258954000000</v>
      </c>
      <c r="D10" s="40">
        <v>81033640000000</v>
      </c>
      <c r="E10" s="37"/>
    </row>
    <row r="11" spans="1:5">
      <c r="A11" s="38" t="s">
        <v>110</v>
      </c>
      <c r="B11" s="42" t="s">
        <v>62</v>
      </c>
      <c r="C11" s="40">
        <v>-42596241000000</v>
      </c>
      <c r="D11" s="40">
        <v>-31031238000000</v>
      </c>
      <c r="E11" s="37"/>
    </row>
    <row r="12" spans="1:5">
      <c r="A12" s="38" t="s">
        <v>110</v>
      </c>
      <c r="B12" s="41" t="s">
        <v>118</v>
      </c>
      <c r="C12" s="40">
        <v>58662713000000</v>
      </c>
      <c r="D12" s="40">
        <v>50002402000000</v>
      </c>
      <c r="E12" s="37"/>
    </row>
    <row r="13" spans="1:5">
      <c r="A13" s="38" t="s">
        <v>110</v>
      </c>
      <c r="B13" s="42" t="s">
        <v>119</v>
      </c>
      <c r="C13" s="40">
        <v>15030415000000</v>
      </c>
      <c r="D13" s="40">
        <v>12279665000000</v>
      </c>
      <c r="E13" s="37"/>
    </row>
    <row r="14" spans="1:5">
      <c r="A14" s="38" t="s">
        <v>110</v>
      </c>
      <c r="B14" s="41" t="s">
        <v>120</v>
      </c>
      <c r="C14" s="40">
        <v>-7648752000000</v>
      </c>
      <c r="D14" s="40">
        <v>-7075337000000</v>
      </c>
      <c r="E14" s="37"/>
    </row>
    <row r="15" spans="1:5">
      <c r="A15" s="38" t="s">
        <v>110</v>
      </c>
      <c r="B15" s="41" t="s">
        <v>121</v>
      </c>
      <c r="C15" s="40">
        <v>7381663000000</v>
      </c>
      <c r="D15" s="40">
        <v>5204328000000</v>
      </c>
      <c r="E15" s="37"/>
    </row>
    <row r="16" spans="1:5">
      <c r="A16" s="38" t="s">
        <v>110</v>
      </c>
      <c r="B16" s="41" t="s">
        <v>122</v>
      </c>
      <c r="C16" s="40">
        <v>297016000000</v>
      </c>
      <c r="D16" s="40">
        <v>827240000000</v>
      </c>
      <c r="E16" s="37"/>
    </row>
    <row r="17" spans="1:5">
      <c r="A17" s="38" t="s">
        <v>110</v>
      </c>
      <c r="B17" s="41" t="s">
        <v>123</v>
      </c>
      <c r="C17" s="40">
        <v>1566648000000</v>
      </c>
      <c r="D17" s="40">
        <v>360956000000</v>
      </c>
      <c r="E17" s="37"/>
    </row>
    <row r="18" spans="1:5">
      <c r="A18" s="38" t="s">
        <v>110</v>
      </c>
      <c r="B18" s="41" t="s">
        <v>124</v>
      </c>
      <c r="C18" s="40">
        <v>4456000000</v>
      </c>
      <c r="D18" s="40">
        <v>469667000000</v>
      </c>
      <c r="E18" s="37"/>
    </row>
    <row r="19" spans="1:5">
      <c r="A19" s="38" t="s">
        <v>110</v>
      </c>
      <c r="B19" s="41" t="s">
        <v>125</v>
      </c>
      <c r="C19" s="40">
        <v>10875443000000</v>
      </c>
      <c r="D19" s="40">
        <v>9559809000000</v>
      </c>
      <c r="E19" s="37"/>
    </row>
    <row r="20" spans="1:5">
      <c r="A20" s="38" t="s">
        <v>110</v>
      </c>
      <c r="B20" s="41" t="s">
        <v>126</v>
      </c>
      <c r="C20" s="40">
        <v>-4169283000000</v>
      </c>
      <c r="D20" s="40">
        <v>-4182147000000</v>
      </c>
      <c r="E20" s="37"/>
    </row>
    <row r="21" spans="1:5">
      <c r="A21" s="38" t="s">
        <v>110</v>
      </c>
      <c r="B21" s="41" t="s">
        <v>127</v>
      </c>
      <c r="C21" s="40">
        <v>6706160000000</v>
      </c>
      <c r="D21" s="40">
        <v>5377662000000</v>
      </c>
      <c r="E21" s="37"/>
    </row>
    <row r="22" spans="1:5">
      <c r="A22" s="38" t="s">
        <v>110</v>
      </c>
      <c r="B22" s="42" t="s">
        <v>128</v>
      </c>
      <c r="C22" s="40">
        <v>35161000000</v>
      </c>
      <c r="D22" s="40">
        <v>12801000000</v>
      </c>
      <c r="E22" s="43" t="s">
        <v>70</v>
      </c>
    </row>
    <row r="23" spans="1:5">
      <c r="A23" s="38" t="s">
        <v>110</v>
      </c>
      <c r="B23" s="42" t="s">
        <v>129</v>
      </c>
      <c r="C23" s="40">
        <v>74653817000000</v>
      </c>
      <c r="D23" s="40">
        <v>62255056000000</v>
      </c>
      <c r="E23" s="37"/>
    </row>
    <row r="24" spans="1:5">
      <c r="A24" s="38" t="s">
        <v>110</v>
      </c>
      <c r="B24" s="42" t="s">
        <v>130</v>
      </c>
      <c r="C24" s="40">
        <v>-18630319000000</v>
      </c>
      <c r="D24" s="40">
        <v>-14339732000000</v>
      </c>
      <c r="E24" s="37"/>
    </row>
    <row r="25" spans="1:5">
      <c r="A25" s="38" t="s">
        <v>110</v>
      </c>
      <c r="B25" s="42" t="s">
        <v>131</v>
      </c>
      <c r="C25" s="40">
        <v>56023498000000</v>
      </c>
      <c r="D25" s="40">
        <v>47915324000000</v>
      </c>
      <c r="E25" s="37"/>
    </row>
    <row r="26" spans="1:5">
      <c r="A26" s="38" t="s">
        <v>110</v>
      </c>
      <c r="B26" s="42" t="s">
        <v>132</v>
      </c>
      <c r="C26" s="40">
        <v>-25398549000000</v>
      </c>
      <c r="D26" s="40">
        <v>-27902624000000</v>
      </c>
      <c r="E26" s="37"/>
    </row>
    <row r="27" spans="1:5">
      <c r="A27" s="38" t="s">
        <v>133</v>
      </c>
      <c r="B27" s="41" t="s">
        <v>134</v>
      </c>
      <c r="C27" s="40">
        <v>2774182000000</v>
      </c>
      <c r="D27" s="40">
        <v>2148289000000</v>
      </c>
      <c r="E27" s="37"/>
    </row>
    <row r="28" spans="1:5">
      <c r="A28" s="38" t="s">
        <v>133</v>
      </c>
      <c r="B28" s="44" t="s">
        <v>135</v>
      </c>
      <c r="C28" s="40">
        <v>2028824000000</v>
      </c>
      <c r="D28" s="40">
        <v>2023899000000</v>
      </c>
      <c r="E28" s="37"/>
    </row>
    <row r="29" spans="1:5">
      <c r="A29" s="38" t="s">
        <v>133</v>
      </c>
      <c r="B29" s="44" t="s">
        <v>136</v>
      </c>
      <c r="C29" s="40">
        <v>1479269000000</v>
      </c>
      <c r="D29" s="40">
        <v>1437082000000</v>
      </c>
      <c r="E29" s="37"/>
    </row>
    <row r="30" spans="1:5">
      <c r="A30" s="38" t="s">
        <v>133</v>
      </c>
      <c r="B30" s="41" t="s">
        <v>137</v>
      </c>
      <c r="C30" s="40">
        <v>2205181000000</v>
      </c>
      <c r="D30" s="40">
        <v>2086191000000</v>
      </c>
      <c r="E30" s="37"/>
    </row>
    <row r="31" spans="1:5">
      <c r="A31" s="38" t="s">
        <v>133</v>
      </c>
      <c r="B31" s="41" t="s">
        <v>138</v>
      </c>
      <c r="C31" s="40">
        <v>549555000000</v>
      </c>
      <c r="D31" s="40">
        <v>586817000000</v>
      </c>
      <c r="E31" s="37"/>
    </row>
    <row r="32" spans="1:5">
      <c r="A32" s="38" t="s">
        <v>133</v>
      </c>
      <c r="B32" s="41" t="s">
        <v>139</v>
      </c>
      <c r="C32" s="40">
        <v>-1655626000000</v>
      </c>
      <c r="D32" s="40">
        <v>-1499374000000</v>
      </c>
      <c r="E32" s="37"/>
    </row>
    <row r="33" spans="1:5">
      <c r="A33" s="38" t="s">
        <v>133</v>
      </c>
      <c r="B33" s="41" t="s">
        <v>140</v>
      </c>
      <c r="C33" s="40">
        <v>191960000000</v>
      </c>
      <c r="D33" s="40">
        <v>189210000000</v>
      </c>
      <c r="E33" s="37"/>
    </row>
    <row r="34" spans="1:5">
      <c r="A34" s="38" t="s">
        <v>133</v>
      </c>
      <c r="B34" s="41" t="s">
        <v>141</v>
      </c>
      <c r="C34" s="40">
        <v>191960000000</v>
      </c>
      <c r="D34" s="40">
        <v>189210000000</v>
      </c>
      <c r="E34" s="37"/>
    </row>
    <row r="35" spans="1:5">
      <c r="A35" s="38" t="s">
        <v>133</v>
      </c>
      <c r="B35" s="42" t="s">
        <v>142</v>
      </c>
      <c r="C35" s="40">
        <v>1260149596000000</v>
      </c>
      <c r="D35" s="40">
        <v>923847637000000</v>
      </c>
      <c r="E35" s="37"/>
    </row>
    <row r="36" spans="1:5">
      <c r="A36" s="38" t="s">
        <v>133</v>
      </c>
      <c r="B36" s="42" t="s">
        <v>143</v>
      </c>
      <c r="C36" s="40">
        <v>1079873967000000</v>
      </c>
      <c r="D36" s="40">
        <v>776572375000000</v>
      </c>
      <c r="E36" s="37"/>
    </row>
    <row r="37" spans="1:5">
      <c r="A37" s="38" t="s">
        <v>133</v>
      </c>
      <c r="B37" s="42" t="s">
        <v>144</v>
      </c>
      <c r="C37" s="40">
        <v>180275629000000</v>
      </c>
      <c r="D37" s="40">
        <v>147275262000000</v>
      </c>
      <c r="E37" s="37"/>
    </row>
    <row r="38" spans="1:5">
      <c r="A38" s="38" t="s">
        <v>133</v>
      </c>
      <c r="B38" s="41" t="s">
        <v>145</v>
      </c>
      <c r="C38" s="40">
        <v>79339236000000</v>
      </c>
      <c r="D38" s="40">
        <v>79339236000000</v>
      </c>
      <c r="E38" s="37"/>
    </row>
    <row r="39" spans="1:5">
      <c r="A39" s="38" t="s">
        <v>133</v>
      </c>
      <c r="B39" s="41" t="s">
        <v>146</v>
      </c>
      <c r="C39" s="40">
        <v>23992546000000</v>
      </c>
      <c r="D39" s="40">
        <v>23992546000000</v>
      </c>
      <c r="E39" s="37"/>
    </row>
    <row r="40" spans="1:5">
      <c r="A40" s="38" t="s">
        <v>133</v>
      </c>
      <c r="B40" s="41" t="s">
        <v>147</v>
      </c>
      <c r="C40" s="40">
        <v>45969647000000</v>
      </c>
      <c r="D40" s="40">
        <v>24007579000000</v>
      </c>
      <c r="E40" s="37"/>
    </row>
    <row r="41" spans="1:5">
      <c r="A41" s="38" t="s">
        <v>133</v>
      </c>
      <c r="B41" s="41" t="s">
        <v>148</v>
      </c>
      <c r="C41" s="40">
        <v>1260149596000000</v>
      </c>
      <c r="D41" s="40">
        <v>923847637000000</v>
      </c>
      <c r="E41" s="37"/>
    </row>
    <row r="42" spans="1:5">
      <c r="A42" s="38" t="s">
        <v>133</v>
      </c>
      <c r="B42" s="41" t="s">
        <v>149</v>
      </c>
      <c r="C42" s="40">
        <v>13570476000000</v>
      </c>
      <c r="D42" s="40">
        <v>14327215000000</v>
      </c>
      <c r="E42" s="37"/>
    </row>
    <row r="43" spans="1:5">
      <c r="A43" s="38" t="s">
        <v>133</v>
      </c>
      <c r="B43" s="41" t="s">
        <v>150</v>
      </c>
      <c r="C43" s="40">
        <v>186228938000000</v>
      </c>
      <c r="D43" s="40">
        <v>134643662000000</v>
      </c>
      <c r="E43" s="37"/>
    </row>
    <row r="44" spans="1:5">
      <c r="A44" s="38" t="s">
        <v>133</v>
      </c>
      <c r="B44" s="41" t="s">
        <v>151</v>
      </c>
      <c r="C44" s="40">
        <v>23960121000000</v>
      </c>
      <c r="D44" s="40">
        <v>13110971000000</v>
      </c>
      <c r="E44" s="37"/>
    </row>
    <row r="45" spans="1:5">
      <c r="A45" s="38" t="s">
        <v>133</v>
      </c>
      <c r="B45" s="41" t="s">
        <v>151</v>
      </c>
      <c r="C45" s="40">
        <v>24132387000000</v>
      </c>
      <c r="D45" s="40">
        <v>13180721000000</v>
      </c>
      <c r="E45" s="37"/>
    </row>
    <row r="46" spans="1:5">
      <c r="A46" s="38" t="s">
        <v>133</v>
      </c>
      <c r="B46" s="41" t="s">
        <v>152</v>
      </c>
      <c r="C46" s="40">
        <v>-172266000000</v>
      </c>
      <c r="D46" s="40">
        <v>-69750000000</v>
      </c>
      <c r="E46" s="37"/>
    </row>
    <row r="47" spans="1:5">
      <c r="A47" s="38" t="s">
        <v>133</v>
      </c>
      <c r="B47" s="41" t="s">
        <v>153</v>
      </c>
      <c r="C47" s="40">
        <v>926472659000000</v>
      </c>
      <c r="D47" s="40">
        <v>681404168000000</v>
      </c>
      <c r="E47" s="37"/>
    </row>
    <row r="48" spans="1:5">
      <c r="A48" s="38" t="s">
        <v>133</v>
      </c>
      <c r="B48" s="42" t="s">
        <v>153</v>
      </c>
      <c r="C48" s="40">
        <v>943901630000000</v>
      </c>
      <c r="D48" s="40">
        <v>697771123000000</v>
      </c>
      <c r="E48" s="43" t="s">
        <v>154</v>
      </c>
    </row>
    <row r="49" spans="1:5">
      <c r="A49" s="38" t="s">
        <v>133</v>
      </c>
      <c r="B49" s="42" t="s">
        <v>92</v>
      </c>
      <c r="C49" s="40">
        <v>-17428971000000</v>
      </c>
      <c r="D49" s="40">
        <v>-16366955000000</v>
      </c>
      <c r="E49" s="37"/>
    </row>
    <row r="50" spans="1:5">
      <c r="A50" s="38" t="s">
        <v>133</v>
      </c>
      <c r="B50" s="41" t="s">
        <v>155</v>
      </c>
      <c r="C50" s="40">
        <v>64434066000000</v>
      </c>
      <c r="D50" s="40">
        <v>52783054000000</v>
      </c>
      <c r="E50" s="37"/>
    </row>
    <row r="51" spans="1:5">
      <c r="A51" s="38" t="s">
        <v>133</v>
      </c>
      <c r="B51" s="41" t="s">
        <v>156</v>
      </c>
      <c r="C51" s="40">
        <v>64462930000000</v>
      </c>
      <c r="D51" s="40">
        <v>51857428000000</v>
      </c>
      <c r="E51" s="37"/>
    </row>
    <row r="52" spans="1:5">
      <c r="A52" s="38" t="s">
        <v>133</v>
      </c>
      <c r="B52" s="41" t="s">
        <v>157</v>
      </c>
      <c r="C52" s="40">
        <v>0</v>
      </c>
      <c r="D52" s="40">
        <v>992927000000</v>
      </c>
      <c r="E52" s="37"/>
    </row>
    <row r="53" spans="1:5">
      <c r="A53" s="38" t="s">
        <v>133</v>
      </c>
      <c r="B53" s="41" t="s">
        <v>158</v>
      </c>
      <c r="C53" s="40">
        <v>-28864000000</v>
      </c>
      <c r="D53" s="40">
        <v>-67301000000</v>
      </c>
      <c r="E53" s="37"/>
    </row>
    <row r="54" spans="1:5">
      <c r="A54" s="38" t="s">
        <v>133</v>
      </c>
      <c r="B54" s="41" t="s">
        <v>159</v>
      </c>
      <c r="C54" s="40">
        <v>6381713000000</v>
      </c>
      <c r="D54" s="40">
        <v>6547735000000</v>
      </c>
      <c r="E54" s="37"/>
    </row>
    <row r="55" spans="1:5">
      <c r="A55" s="38" t="s">
        <v>133</v>
      </c>
      <c r="B55" s="41" t="s">
        <v>160</v>
      </c>
      <c r="C55" s="40">
        <v>15305000000</v>
      </c>
      <c r="D55" s="40">
        <v>5713000000</v>
      </c>
      <c r="E55" s="37"/>
    </row>
    <row r="56" spans="1:5">
      <c r="A56" s="38" t="s">
        <v>133</v>
      </c>
      <c r="B56" s="41" t="s">
        <v>161</v>
      </c>
      <c r="C56" s="40">
        <v>140778777000000</v>
      </c>
      <c r="D56" s="40">
        <v>111863209000000</v>
      </c>
      <c r="E56" s="37"/>
    </row>
    <row r="57" spans="1:5">
      <c r="A57" s="38" t="s">
        <v>133</v>
      </c>
      <c r="B57" s="41" t="s">
        <v>162</v>
      </c>
      <c r="C57" s="40">
        <v>628044616000000</v>
      </c>
      <c r="D57" s="40">
        <v>485666548000000</v>
      </c>
      <c r="E57" s="37"/>
    </row>
    <row r="58" spans="1:5">
      <c r="A58" s="38" t="s">
        <v>133</v>
      </c>
      <c r="B58" s="41" t="s">
        <v>163</v>
      </c>
      <c r="C58" s="40">
        <v>843382000000</v>
      </c>
      <c r="D58" s="40">
        <v>28057000000</v>
      </c>
      <c r="E58" s="37"/>
    </row>
    <row r="59" spans="1:5">
      <c r="A59" s="38" t="s">
        <v>133</v>
      </c>
      <c r="B59" s="41" t="s">
        <v>164</v>
      </c>
      <c r="C59" s="40">
        <v>16394000000</v>
      </c>
      <c r="D59" s="40">
        <v>10894000000</v>
      </c>
      <c r="E59" s="37"/>
    </row>
    <row r="60" spans="1:5">
      <c r="A60" s="38" t="s">
        <v>133</v>
      </c>
      <c r="B60" s="41" t="s">
        <v>165</v>
      </c>
      <c r="C60" s="40">
        <v>107120653000000</v>
      </c>
      <c r="D60" s="40">
        <v>66975704000000</v>
      </c>
      <c r="E60" s="37"/>
    </row>
    <row r="61" spans="1:5">
      <c r="A61" s="38" t="s">
        <v>133</v>
      </c>
      <c r="B61" s="41" t="s">
        <v>166</v>
      </c>
      <c r="C61" s="40">
        <v>33454600000000</v>
      </c>
      <c r="D61" s="40">
        <v>11687513000000</v>
      </c>
      <c r="E61" s="37"/>
    </row>
    <row r="62" spans="1:5">
      <c r="A62" s="38" t="s">
        <v>133</v>
      </c>
      <c r="B62" s="41" t="s">
        <v>167</v>
      </c>
      <c r="C62" s="40">
        <v>103331782000000</v>
      </c>
      <c r="D62" s="40">
        <v>103331782000000</v>
      </c>
      <c r="E62" s="37"/>
    </row>
    <row r="63" spans="1:5">
      <c r="A63" s="38" t="s">
        <v>133</v>
      </c>
      <c r="B63" s="41" t="s">
        <v>168</v>
      </c>
      <c r="C63" s="40">
        <v>18601914000000</v>
      </c>
      <c r="D63" s="40">
        <v>14565614000000</v>
      </c>
      <c r="E63" s="37"/>
    </row>
    <row r="64" spans="1:5">
      <c r="A64" s="38" t="s">
        <v>133</v>
      </c>
      <c r="B64" s="41" t="s">
        <v>169</v>
      </c>
      <c r="C64" s="40">
        <v>50911375000000</v>
      </c>
      <c r="D64" s="40">
        <v>26008227000000</v>
      </c>
      <c r="E64" s="37"/>
    </row>
    <row r="65" spans="1:5">
      <c r="A65" s="38" t="s">
        <v>133</v>
      </c>
      <c r="B65" s="41" t="s">
        <v>170</v>
      </c>
      <c r="C65" s="40">
        <v>11447240000000</v>
      </c>
      <c r="D65" s="40">
        <v>848721000000</v>
      </c>
      <c r="E65" s="37"/>
    </row>
    <row r="66" spans="1:5">
      <c r="A66" s="38" t="s">
        <v>133</v>
      </c>
      <c r="B66" s="41" t="s">
        <v>171</v>
      </c>
      <c r="C66" s="40">
        <v>6965590000000</v>
      </c>
      <c r="D66" s="40">
        <v>2972620000000</v>
      </c>
      <c r="E66" s="37"/>
    </row>
    <row r="67" spans="1:5">
      <c r="A67" s="38" t="s">
        <v>133</v>
      </c>
      <c r="B67" s="41" t="s">
        <v>172</v>
      </c>
      <c r="C67" s="40">
        <v>9281743000000</v>
      </c>
      <c r="D67" s="40">
        <v>1955905000000</v>
      </c>
      <c r="E67" s="37"/>
    </row>
    <row r="68" spans="1:5">
      <c r="A68" s="38" t="s">
        <v>133</v>
      </c>
      <c r="B68" s="41" t="s">
        <v>173</v>
      </c>
      <c r="C68" s="40">
        <v>529301446000000</v>
      </c>
      <c r="D68" s="40">
        <v>295072227000000</v>
      </c>
      <c r="E68" s="37"/>
    </row>
    <row r="69" spans="1:5">
      <c r="A69" s="38" t="s">
        <v>133</v>
      </c>
      <c r="B69" s="41" t="s">
        <v>174</v>
      </c>
      <c r="C69" s="40">
        <v>19751533000000</v>
      </c>
      <c r="D69" s="40">
        <v>16461049000000</v>
      </c>
      <c r="E69" s="37"/>
    </row>
    <row r="70" spans="1:5">
      <c r="A70" s="38" t="s">
        <v>133</v>
      </c>
      <c r="B70" s="41" t="s">
        <v>175</v>
      </c>
      <c r="C70" s="40">
        <v>422833846000000</v>
      </c>
      <c r="D70" s="40">
        <v>347434640000000</v>
      </c>
      <c r="E70" s="37"/>
    </row>
    <row r="71" spans="1:5">
      <c r="A71" s="38" t="s">
        <v>133</v>
      </c>
      <c r="B71" s="41" t="s">
        <v>115</v>
      </c>
      <c r="C71" s="40">
        <v>12372286000000</v>
      </c>
      <c r="D71" s="40">
        <v>5370287000000</v>
      </c>
      <c r="E71" s="37"/>
    </row>
    <row r="72" spans="1:5">
      <c r="A72" s="38" t="s">
        <v>133</v>
      </c>
      <c r="B72" s="41" t="s">
        <v>176</v>
      </c>
      <c r="C72" s="40">
        <v>178800339000000</v>
      </c>
      <c r="D72" s="40">
        <v>126527280000000</v>
      </c>
      <c r="E72" s="37"/>
    </row>
    <row r="73" spans="1:5">
      <c r="A73" s="38" t="s">
        <v>133</v>
      </c>
      <c r="B73" s="41" t="s">
        <v>177</v>
      </c>
      <c r="C73" s="40">
        <v>7428599000000</v>
      </c>
      <c r="D73" s="40">
        <v>8116382000000</v>
      </c>
      <c r="E73" s="37"/>
    </row>
    <row r="74" spans="1:5">
      <c r="A74" s="38" t="s">
        <v>133</v>
      </c>
      <c r="B74" s="41" t="s">
        <v>178</v>
      </c>
      <c r="C74" s="40">
        <v>1361635000000</v>
      </c>
      <c r="D74" s="40">
        <v>805869000000</v>
      </c>
      <c r="E74" s="37"/>
    </row>
    <row r="75" spans="1:5">
      <c r="A75" s="38" t="s">
        <v>133</v>
      </c>
      <c r="B75" s="41" t="s">
        <v>179</v>
      </c>
      <c r="C75" s="40">
        <v>-10212000000</v>
      </c>
      <c r="D75" s="40">
        <v>-6044000000</v>
      </c>
      <c r="E75" s="37"/>
    </row>
    <row r="76" spans="1:5">
      <c r="A76" s="38" t="s">
        <v>133</v>
      </c>
      <c r="B76" s="41" t="s">
        <v>180</v>
      </c>
      <c r="C76" s="40">
        <v>17522681000000</v>
      </c>
      <c r="D76" s="40">
        <v>6515935000000</v>
      </c>
      <c r="E76" s="37"/>
    </row>
    <row r="77" spans="1:5">
      <c r="A77" s="38" t="s">
        <v>133</v>
      </c>
      <c r="B77" s="41" t="s">
        <v>181</v>
      </c>
      <c r="C77" s="40">
        <v>14279226000000</v>
      </c>
      <c r="D77" s="40">
        <v>8384069000000</v>
      </c>
      <c r="E77" s="37"/>
    </row>
    <row r="78" spans="1:5">
      <c r="A78" s="38" t="s">
        <v>133</v>
      </c>
      <c r="B78" s="41" t="s">
        <v>182</v>
      </c>
      <c r="C78" s="40">
        <v>1143728000000</v>
      </c>
      <c r="D78" s="40">
        <v>1195836000000</v>
      </c>
      <c r="E78" s="37"/>
    </row>
    <row r="79" spans="1:5">
      <c r="A79" s="38" t="s">
        <v>133</v>
      </c>
      <c r="B79" s="41" t="s">
        <v>183</v>
      </c>
      <c r="C79" s="40">
        <v>111000000</v>
      </c>
      <c r="D79" s="40">
        <v>41310000000</v>
      </c>
      <c r="E79" s="37"/>
    </row>
    <row r="80" spans="1:5">
      <c r="A80" s="38" t="s">
        <v>133</v>
      </c>
      <c r="B80" s="41" t="s">
        <v>184</v>
      </c>
      <c r="C80" s="40">
        <v>-190401000000</v>
      </c>
      <c r="D80" s="40">
        <v>-226231000000</v>
      </c>
      <c r="E80" s="37"/>
    </row>
    <row r="81" spans="1:5">
      <c r="A81" s="38" t="s">
        <v>133</v>
      </c>
      <c r="B81" s="41" t="s">
        <v>185</v>
      </c>
      <c r="C81" s="40">
        <v>154420742000000</v>
      </c>
      <c r="D81" s="40">
        <v>89893212000000</v>
      </c>
      <c r="E81" s="37"/>
    </row>
    <row r="82" spans="1:5">
      <c r="A82" s="38" t="s">
        <v>133</v>
      </c>
      <c r="B82" s="41" t="s">
        <v>186</v>
      </c>
      <c r="C82" s="40">
        <v>15150513000000</v>
      </c>
      <c r="D82" s="40">
        <v>10415008000000</v>
      </c>
      <c r="E82" s="37"/>
    </row>
    <row r="83" spans="1:5">
      <c r="A83" s="38" t="s">
        <v>133</v>
      </c>
      <c r="B83" s="41" t="s">
        <v>187</v>
      </c>
      <c r="C83" s="40">
        <v>28985000000</v>
      </c>
      <c r="D83" s="40">
        <v>26517000000</v>
      </c>
      <c r="E83" s="37"/>
    </row>
    <row r="84" spans="1:5">
      <c r="A84" s="38" t="s">
        <v>188</v>
      </c>
      <c r="B84" s="41" t="s">
        <v>189</v>
      </c>
      <c r="C84" s="40">
        <v>52478949000000</v>
      </c>
      <c r="D84" s="40">
        <v>42259511000000</v>
      </c>
      <c r="E84" s="37"/>
    </row>
    <row r="85" spans="1:5">
      <c r="A85" s="38" t="s">
        <v>188</v>
      </c>
      <c r="B85" s="42" t="s">
        <v>190</v>
      </c>
      <c r="C85" s="40">
        <v>44532621000000</v>
      </c>
      <c r="D85" s="40">
        <v>57316185000000</v>
      </c>
      <c r="E85" s="37"/>
    </row>
    <row r="86" spans="1:5">
      <c r="A86" s="38" t="s">
        <v>188</v>
      </c>
      <c r="B86" s="42" t="s">
        <v>191</v>
      </c>
      <c r="C86" s="40">
        <v>-131095000000</v>
      </c>
      <c r="D86" s="40">
        <v>-59296000000</v>
      </c>
      <c r="E86" s="37"/>
    </row>
    <row r="87" spans="1:5">
      <c r="A87" s="38" t="s">
        <v>188</v>
      </c>
      <c r="B87" s="41" t="s">
        <v>192</v>
      </c>
      <c r="C87" s="40">
        <v>9349000000</v>
      </c>
      <c r="D87" s="40">
        <v>1715000000</v>
      </c>
      <c r="E87" s="37"/>
    </row>
    <row r="88" spans="1:5">
      <c r="A88" s="38" t="s">
        <v>188</v>
      </c>
      <c r="B88" s="41" t="s">
        <v>193</v>
      </c>
      <c r="C88" s="40">
        <v>35161000000</v>
      </c>
      <c r="D88" s="40">
        <v>12801000000</v>
      </c>
      <c r="E88" s="37"/>
    </row>
    <row r="89" spans="1:5">
      <c r="A89" s="38" t="s">
        <v>188</v>
      </c>
      <c r="B89" s="41" t="s">
        <v>194</v>
      </c>
      <c r="C89" s="40">
        <v>-88786000000</v>
      </c>
      <c r="D89" s="40">
        <v>-45039000000</v>
      </c>
      <c r="E89" s="37"/>
    </row>
    <row r="90" spans="1:5">
      <c r="A90" s="38" t="s">
        <v>188</v>
      </c>
      <c r="B90" s="41" t="s">
        <v>195</v>
      </c>
      <c r="C90" s="40">
        <v>12618772000000</v>
      </c>
      <c r="D90" s="45">
        <v>0</v>
      </c>
      <c r="E90" s="37"/>
    </row>
    <row r="91" spans="1:5">
      <c r="A91" s="38" t="s">
        <v>188</v>
      </c>
      <c r="B91" s="42" t="s">
        <v>196</v>
      </c>
      <c r="C91" s="40">
        <v>-3968172000000</v>
      </c>
      <c r="D91" s="40">
        <v>-7935832000000</v>
      </c>
      <c r="E91" s="37"/>
    </row>
    <row r="92" spans="1:5">
      <c r="A92" s="38" t="s">
        <v>188</v>
      </c>
      <c r="B92" s="42" t="s">
        <v>197</v>
      </c>
      <c r="C92" s="40">
        <v>8650600000000</v>
      </c>
      <c r="D92" s="40">
        <v>-7935832000000</v>
      </c>
      <c r="E92" s="43" t="s">
        <v>198</v>
      </c>
    </row>
    <row r="93" spans="1:5">
      <c r="A93" s="38" t="s">
        <v>188</v>
      </c>
      <c r="B93" s="41" t="s">
        <v>199</v>
      </c>
      <c r="C93" s="40">
        <v>143002784000000</v>
      </c>
      <c r="D93" s="40">
        <v>93667470000000</v>
      </c>
      <c r="E93" s="37"/>
    </row>
    <row r="94" spans="1:5">
      <c r="A94" s="38" t="s">
        <v>188</v>
      </c>
      <c r="B94" s="41" t="s">
        <v>200</v>
      </c>
      <c r="C94" s="40">
        <v>196097219000000</v>
      </c>
      <c r="D94" s="40">
        <v>143002784000000</v>
      </c>
      <c r="E94" s="37"/>
    </row>
    <row r="95" spans="1:5">
      <c r="A95" s="38" t="s">
        <v>188</v>
      </c>
      <c r="B95" s="41" t="s">
        <v>201</v>
      </c>
      <c r="C95" s="40">
        <v>-4127774000000</v>
      </c>
      <c r="D95" s="40">
        <v>-3503868000000</v>
      </c>
      <c r="E95" s="37"/>
    </row>
    <row r="96" spans="1:5">
      <c r="A96" s="38" t="s">
        <v>188</v>
      </c>
      <c r="B96" s="41" t="s">
        <v>202</v>
      </c>
      <c r="C96" s="40">
        <v>-56316000000</v>
      </c>
      <c r="D96" s="40">
        <v>4678323000000</v>
      </c>
      <c r="E96" s="37"/>
    </row>
    <row r="97" spans="1:5">
      <c r="A97" s="38" t="s">
        <v>188</v>
      </c>
      <c r="B97" s="41" t="s">
        <v>203</v>
      </c>
      <c r="C97" s="40">
        <v>-20867919000000</v>
      </c>
      <c r="D97" s="40">
        <v>39520021000000</v>
      </c>
      <c r="E97" s="37"/>
    </row>
    <row r="98" spans="1:5">
      <c r="A98" s="38" t="s">
        <v>188</v>
      </c>
      <c r="B98" s="41" t="s">
        <v>204</v>
      </c>
      <c r="C98" s="40">
        <v>-248972146000000</v>
      </c>
      <c r="D98" s="40">
        <v>-106264749000000</v>
      </c>
      <c r="E98" s="37"/>
    </row>
    <row r="99" spans="1:5">
      <c r="A99" s="38" t="s">
        <v>188</v>
      </c>
      <c r="B99" s="41" t="s">
        <v>205</v>
      </c>
      <c r="C99" s="40">
        <v>-22046491000000</v>
      </c>
      <c r="D99" s="40">
        <v>-23511227000000</v>
      </c>
      <c r="E99" s="37"/>
    </row>
    <row r="100" spans="1:5">
      <c r="A100" s="38" t="s">
        <v>188</v>
      </c>
      <c r="B100" s="41" t="s">
        <v>206</v>
      </c>
      <c r="C100" s="40">
        <v>-11256096000000</v>
      </c>
      <c r="D100" s="40">
        <v>-267733000000</v>
      </c>
      <c r="E100" s="37"/>
    </row>
    <row r="101" spans="1:5">
      <c r="A101" s="38" t="s">
        <v>188</v>
      </c>
      <c r="B101" s="41" t="s">
        <v>207</v>
      </c>
      <c r="C101" s="40">
        <v>9592000000</v>
      </c>
      <c r="D101" s="40">
        <v>-4112598000000</v>
      </c>
      <c r="E101" s="37"/>
    </row>
    <row r="102" spans="1:5">
      <c r="A102" s="38" t="s">
        <v>188</v>
      </c>
      <c r="B102" s="41" t="s">
        <v>208</v>
      </c>
      <c r="C102" s="40">
        <v>93443098000000</v>
      </c>
      <c r="D102" s="40">
        <v>45399770000000</v>
      </c>
      <c r="E102" s="37"/>
    </row>
    <row r="103" spans="1:5">
      <c r="A103" s="38" t="s">
        <v>188</v>
      </c>
      <c r="B103" s="41" t="s">
        <v>209</v>
      </c>
      <c r="C103" s="40">
        <v>142378068000000</v>
      </c>
      <c r="D103" s="40">
        <v>43298167000000</v>
      </c>
      <c r="E103" s="37"/>
    </row>
    <row r="104" spans="1:5">
      <c r="A104" s="38" t="s">
        <v>188</v>
      </c>
      <c r="B104" s="41" t="s">
        <v>210</v>
      </c>
      <c r="C104" s="40">
        <v>815325000000</v>
      </c>
      <c r="D104" s="40">
        <v>27665000000</v>
      </c>
      <c r="E104" s="37"/>
    </row>
    <row r="105" spans="1:5">
      <c r="A105" s="38" t="s">
        <v>188</v>
      </c>
      <c r="B105" s="41" t="s">
        <v>211</v>
      </c>
      <c r="C105" s="40">
        <v>5500000000</v>
      </c>
      <c r="D105" s="40">
        <v>-11151000000</v>
      </c>
      <c r="E105" s="37"/>
    </row>
    <row r="106" spans="1:5">
      <c r="A106" s="38" t="s">
        <v>188</v>
      </c>
      <c r="B106" s="41" t="s">
        <v>212</v>
      </c>
      <c r="C106" s="40">
        <v>40144949000000</v>
      </c>
      <c r="D106" s="40">
        <v>19188392000000</v>
      </c>
      <c r="E106" s="37"/>
    </row>
    <row r="107" spans="1:5">
      <c r="A107" s="38" t="s">
        <v>188</v>
      </c>
      <c r="B107" s="41" t="s">
        <v>213</v>
      </c>
      <c r="C107" s="40">
        <v>18456108000000</v>
      </c>
      <c r="D107" s="40">
        <v>-2888206000000</v>
      </c>
      <c r="E107" s="37"/>
    </row>
    <row r="108" spans="1:5">
      <c r="A108" s="38" t="s">
        <v>188</v>
      </c>
      <c r="B108" s="41" t="s">
        <v>214</v>
      </c>
      <c r="C108" s="40">
        <v>44532621000000</v>
      </c>
      <c r="D108" s="40">
        <v>57316185000000</v>
      </c>
      <c r="E108" s="37"/>
    </row>
    <row r="109" spans="1:5">
      <c r="A109" s="38" t="s">
        <v>188</v>
      </c>
      <c r="B109" s="41" t="s">
        <v>215</v>
      </c>
      <c r="C109" s="40">
        <v>-2201000000</v>
      </c>
      <c r="D109" s="40">
        <v>-259000000</v>
      </c>
      <c r="E109" s="37"/>
    </row>
    <row r="110" spans="1:5">
      <c r="A110" s="38" t="s">
        <v>188</v>
      </c>
      <c r="B110" s="41" t="s">
        <v>216</v>
      </c>
      <c r="C110" s="40">
        <v>96256660000000</v>
      </c>
      <c r="D110" s="40">
        <v>80683552000000</v>
      </c>
      <c r="E110" s="37"/>
    </row>
    <row r="111" spans="1:5">
      <c r="A111" s="38" t="s">
        <v>188</v>
      </c>
      <c r="B111" s="41" t="s">
        <v>217</v>
      </c>
      <c r="C111" s="40">
        <v>-37964490000000</v>
      </c>
      <c r="D111" s="40">
        <v>-34127232000000</v>
      </c>
      <c r="E111" s="37"/>
    </row>
    <row r="112" spans="1:5">
      <c r="A112" s="38" t="s">
        <v>188</v>
      </c>
      <c r="B112" s="41" t="s">
        <v>218</v>
      </c>
      <c r="C112" s="40">
        <v>6931058000000</v>
      </c>
      <c r="D112" s="40">
        <v>5963049000000</v>
      </c>
      <c r="E112" s="37"/>
    </row>
    <row r="113" spans="1:5">
      <c r="A113" s="38" t="s">
        <v>188</v>
      </c>
      <c r="B113" s="41" t="s">
        <v>219</v>
      </c>
      <c r="C113" s="40">
        <v>1593696000000</v>
      </c>
      <c r="D113" s="40">
        <v>1378451000000</v>
      </c>
      <c r="E113" s="37"/>
    </row>
    <row r="114" spans="1:5">
      <c r="A114" s="38" t="s">
        <v>188</v>
      </c>
      <c r="B114" s="41" t="s">
        <v>125</v>
      </c>
      <c r="C114" s="40">
        <v>986423000000</v>
      </c>
      <c r="D114" s="40">
        <v>-198681000000</v>
      </c>
      <c r="E114" s="37"/>
    </row>
    <row r="115" spans="1:5">
      <c r="A115" s="38" t="s">
        <v>188</v>
      </c>
      <c r="B115" s="41" t="s">
        <v>220</v>
      </c>
      <c r="C115" s="40">
        <v>-16909213000000</v>
      </c>
      <c r="D115" s="40">
        <v>-13510646000000</v>
      </c>
      <c r="E115" s="37"/>
    </row>
    <row r="116" spans="1:5">
      <c r="A116" s="38" t="s">
        <v>188</v>
      </c>
      <c r="B116" s="41" t="s">
        <v>221</v>
      </c>
      <c r="C116" s="40">
        <v>5712589000000</v>
      </c>
      <c r="D116" s="40">
        <v>5574886000000</v>
      </c>
      <c r="E116" s="37"/>
    </row>
    <row r="117" spans="1:5">
      <c r="A117" s="38" t="s">
        <v>188</v>
      </c>
      <c r="B117" s="41" t="s">
        <v>222</v>
      </c>
      <c r="C117" s="40">
        <v>1593696000000</v>
      </c>
      <c r="D117" s="40">
        <v>1378451000000</v>
      </c>
      <c r="E117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Báo cáo từng cty</vt:lpstr>
      <vt:lpstr>Bản sao của Báo cáo từng cty</vt:lpstr>
      <vt:lpstr>Raw data</vt:lpstr>
      <vt:lpstr>Đối chiếu dữ liệu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si'</cp:lastModifiedBy>
  <dcterms:modified xsi:type="dcterms:W3CDTF">2026-09-14T03:18:44Z</dcterms:modified>
</cp:coreProperties>
</file>